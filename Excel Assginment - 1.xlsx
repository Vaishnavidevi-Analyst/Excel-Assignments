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8BA55DC-A516-4FEF-9482-08B5513D731B}" xr6:coauthVersionLast="47" xr6:coauthVersionMax="47" xr10:uidLastSave="{00000000-0000-0000-0000-000000000000}"/>
  <bookViews>
    <workbookView xWindow="-120" yWindow="-120" windowWidth="19440" windowHeight="11640" activeTab="1" xr2:uid="{932A66F2-DAFE-46AB-B422-A2FA5EB1B1C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2" l="1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I82" i="2"/>
  <c r="I83" i="2"/>
  <c r="I84" i="2"/>
  <c r="I85" i="2"/>
  <c r="I77" i="2"/>
  <c r="I78" i="2"/>
  <c r="I79" i="2"/>
  <c r="I80" i="2"/>
  <c r="I81" i="2"/>
  <c r="I75" i="2"/>
  <c r="I76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K53" i="2"/>
  <c r="J53" i="2"/>
  <c r="I53" i="2"/>
  <c r="J44" i="2"/>
  <c r="J43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24" i="2"/>
  <c r="J18" i="2"/>
  <c r="J17" i="2"/>
  <c r="J10" i="2"/>
  <c r="J9" i="2"/>
  <c r="J8" i="2"/>
</calcChain>
</file>

<file path=xl/sharedStrings.xml><?xml version="1.0" encoding="utf-8"?>
<sst xmlns="http://schemas.openxmlformats.org/spreadsheetml/2006/main" count="187" uniqueCount="122">
  <si>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</si>
  <si>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</si>
  <si>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</si>
  <si>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</si>
  <si>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</si>
  <si>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</si>
  <si>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</si>
  <si>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</si>
  <si>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</si>
  <si>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</si>
  <si>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</si>
  <si>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</si>
  <si>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</si>
  <si>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</si>
  <si>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</si>
  <si>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</si>
  <si>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</si>
  <si>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</si>
  <si>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</si>
  <si>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</si>
  <si>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</si>
  <si>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</si>
  <si>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</si>
  <si>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</si>
  <si>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</si>
  <si>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</si>
  <si>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</si>
  <si>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</si>
  <si>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</si>
  <si>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</si>
  <si>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</si>
  <si>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</si>
  <si>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</si>
  <si>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</si>
  <si>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</si>
  <si>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</si>
  <si>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</si>
  <si>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</si>
  <si>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</si>
  <si>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</si>
  <si>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</si>
  <si>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</si>
  <si>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</si>
  <si>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</si>
  <si>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</si>
  <si>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</si>
  <si>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</si>
  <si>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</si>
  <si>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</si>
  <si>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</si>
  <si>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</si>
  <si>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</si>
  <si>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</si>
  <si>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</si>
  <si>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</si>
  <si>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</si>
  <si>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</si>
  <si>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</si>
  <si>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</si>
  <si>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</si>
  <si>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</si>
  <si>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</si>
  <si>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</si>
  <si>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</si>
  <si>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</si>
  <si>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</si>
  <si>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</si>
  <si>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</si>
  <si>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</si>
  <si>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</si>
  <si>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</si>
  <si>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</si>
  <si>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</si>
  <si>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</si>
  <si>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</si>
  <si>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</si>
  <si>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</si>
  <si>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</si>
  <si>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</si>
  <si>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</si>
  <si>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</si>
  <si>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</si>
  <si>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</si>
  <si>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</si>
  <si>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</si>
  <si>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</si>
  <si>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</si>
  <si>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</si>
  <si>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</si>
  <si>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</si>
  <si>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</si>
  <si>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</si>
  <si>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</si>
  <si>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</si>
  <si>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</si>
  <si>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</si>
  <si>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</si>
  <si>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</si>
  <si>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</si>
  <si>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</si>
  <si>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</si>
  <si>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</si>
  <si>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</si>
  <si>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</si>
  <si>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</si>
  <si>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</si>
  <si>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</si>
  <si>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</si>
  <si>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</si>
  <si>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</si>
  <si>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for Electronics Products only =</t>
  </si>
  <si>
    <t>No of products in price list column with  &lt;100</t>
  </si>
  <si>
    <t xml:space="preserve">DATA SETSHEET - Assignment -1 </t>
  </si>
  <si>
    <r>
      <t>Total Price (</t>
    </r>
    <r>
      <rPr>
        <b/>
        <sz val="11"/>
        <color rgb="FF00B050"/>
        <rFont val="Aptos Narrow"/>
        <family val="2"/>
        <scheme val="minor"/>
      </rPr>
      <t>sum</t>
    </r>
    <r>
      <rPr>
        <b/>
        <sz val="11"/>
        <color rgb="FFC00000"/>
        <rFont val="Aptos Narrow"/>
        <family val="2"/>
        <scheme val="minor"/>
      </rPr>
      <t>)</t>
    </r>
  </si>
  <si>
    <r>
      <t>No of products (</t>
    </r>
    <r>
      <rPr>
        <b/>
        <sz val="11"/>
        <color rgb="FF00B050"/>
        <rFont val="Aptos Narrow"/>
        <family val="2"/>
        <scheme val="minor"/>
      </rPr>
      <t>count</t>
    </r>
    <r>
      <rPr>
        <b/>
        <sz val="11"/>
        <color rgb="FFC00000"/>
        <rFont val="Aptos Narrow"/>
        <family val="2"/>
        <scheme val="minor"/>
      </rPr>
      <t>)</t>
    </r>
  </si>
  <si>
    <r>
      <t>Average price of proucts (</t>
    </r>
    <r>
      <rPr>
        <b/>
        <sz val="11"/>
        <color rgb="FF00B050"/>
        <rFont val="Aptos Narrow"/>
        <family val="2"/>
        <scheme val="minor"/>
      </rPr>
      <t>average</t>
    </r>
    <r>
      <rPr>
        <b/>
        <sz val="11"/>
        <color rgb="FFC00000"/>
        <rFont val="Aptos Narrow"/>
        <family val="2"/>
        <scheme val="minor"/>
      </rPr>
      <t>)</t>
    </r>
  </si>
  <si>
    <r>
      <t>Min price of products (</t>
    </r>
    <r>
      <rPr>
        <b/>
        <sz val="11"/>
        <color rgb="FF00B050"/>
        <rFont val="Aptos Narrow"/>
        <family val="2"/>
        <scheme val="minor"/>
      </rPr>
      <t>min</t>
    </r>
    <r>
      <rPr>
        <b/>
        <sz val="11"/>
        <color rgb="FFC00000"/>
        <rFont val="Aptos Narrow"/>
        <family val="2"/>
        <scheme val="minor"/>
      </rPr>
      <t>)</t>
    </r>
  </si>
  <si>
    <r>
      <t>Max price of products (</t>
    </r>
    <r>
      <rPr>
        <b/>
        <sz val="11"/>
        <color rgb="FF00B050"/>
        <rFont val="Aptos Narrow"/>
        <family val="2"/>
        <scheme val="minor"/>
      </rPr>
      <t>max</t>
    </r>
    <r>
      <rPr>
        <b/>
        <sz val="11"/>
        <color rgb="FFC00000"/>
        <rFont val="Aptos Narrow"/>
        <family val="2"/>
        <scheme val="minor"/>
      </rPr>
      <t>)</t>
    </r>
  </si>
  <si>
    <r>
      <t>Price Range (</t>
    </r>
    <r>
      <rPr>
        <b/>
        <sz val="11"/>
        <color rgb="FF00B050"/>
        <rFont val="Aptos Narrow"/>
        <family val="2"/>
        <scheme val="minor"/>
      </rPr>
      <t>if condition</t>
    </r>
    <r>
      <rPr>
        <b/>
        <sz val="11"/>
        <color rgb="FFC00000"/>
        <rFont val="Aptos Narrow"/>
        <family val="2"/>
        <scheme val="minor"/>
      </rPr>
      <t>)</t>
    </r>
  </si>
  <si>
    <r>
      <t>Day (</t>
    </r>
    <r>
      <rPr>
        <b/>
        <sz val="11"/>
        <color rgb="FF00B050"/>
        <rFont val="Aptos Narrow"/>
        <family val="2"/>
        <scheme val="minor"/>
      </rPr>
      <t>left function</t>
    </r>
    <r>
      <rPr>
        <b/>
        <sz val="11"/>
        <color rgb="FFC00000"/>
        <rFont val="Aptos Narrow"/>
        <family val="2"/>
        <scheme val="minor"/>
      </rPr>
      <t>)</t>
    </r>
  </si>
  <si>
    <r>
      <t>Country Code (</t>
    </r>
    <r>
      <rPr>
        <b/>
        <sz val="11"/>
        <color rgb="FF00B050"/>
        <rFont val="Aptos Narrow"/>
        <family val="2"/>
        <scheme val="minor"/>
      </rPr>
      <t>right function</t>
    </r>
    <r>
      <rPr>
        <b/>
        <sz val="11"/>
        <color rgb="FFC00000"/>
        <rFont val="Aptos Narrow"/>
        <family val="2"/>
        <scheme val="minor"/>
      </rPr>
      <t>)</t>
    </r>
  </si>
  <si>
    <r>
      <t>Month (</t>
    </r>
    <r>
      <rPr>
        <b/>
        <sz val="11"/>
        <color rgb="FF00B050"/>
        <rFont val="Aptos Narrow"/>
        <family val="2"/>
        <scheme val="minor"/>
      </rPr>
      <t>mid function</t>
    </r>
    <r>
      <rPr>
        <b/>
        <sz val="11"/>
        <color rgb="FFC00000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</si>
</sst>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rgb="FFC00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D20E-5D14-417D-A2D8-728F2C280633}">
  <dimension ref="A1:C22"/>
  <sheetViews>
    <sheetView workbookViewId="0">
      <selection activeCell="J25" sqref="J25"/>
    </sheetView>
  </sheetViews>
  <sheetFormatPr defaultRowHeight="15" x14ac:dyDescent="0.25"/>
  <sheetData>
    <row r="1" spans="1:3" x14ac:dyDescent="0.25">
      <c r="A1" t="s">
        <v>0</v>
      </c>
    </row>
    <row r="3" spans="1:3" x14ac:dyDescent="0.25">
      <c r="B3" t="s">
        <v>1</v>
      </c>
    </row>
    <row r="4" spans="1:3" x14ac:dyDescent="0.25">
      <c r="C4" t="s">
        <v>2</v>
      </c>
    </row>
    <row r="5" spans="1:3" x14ac:dyDescent="0.25">
      <c r="C5" t="s">
        <v>3</v>
      </c>
    </row>
    <row r="6" spans="1:3" x14ac:dyDescent="0.25">
      <c r="C6" t="s">
        <v>4</v>
      </c>
    </row>
    <row r="8" spans="1:3" x14ac:dyDescent="0.25">
      <c r="B8" t="s">
        <v>5</v>
      </c>
    </row>
    <row r="9" spans="1:3" x14ac:dyDescent="0.25">
      <c r="C9" t="s">
        <v>6</v>
      </c>
    </row>
    <row r="10" spans="1:3" x14ac:dyDescent="0.25">
      <c r="C10" t="s">
        <v>7</v>
      </c>
    </row>
    <row r="12" spans="1:3" x14ac:dyDescent="0.25">
      <c r="B12" t="s">
        <v>8</v>
      </c>
    </row>
    <row r="13" spans="1:3" x14ac:dyDescent="0.25">
      <c r="C13" t="s">
        <v>9</v>
      </c>
    </row>
    <row r="15" spans="1:3" x14ac:dyDescent="0.25">
      <c r="B15" t="s">
        <v>10</v>
      </c>
    </row>
    <row r="16" spans="1:3" x14ac:dyDescent="0.25">
      <c r="C16" t="s">
        <v>11</v>
      </c>
    </row>
    <row r="17" spans="2:3" x14ac:dyDescent="0.25">
      <c r="C17" t="s">
        <v>12</v>
      </c>
    </row>
    <row r="19" spans="2:3" x14ac:dyDescent="0.25">
      <c r="B19" t="s">
        <v>13</v>
      </c>
    </row>
    <row r="20" spans="2:3" x14ac:dyDescent="0.25">
      <c r="C20" t="s">
        <v>14</v>
      </c>
    </row>
    <row r="21" spans="2:3" x14ac:dyDescent="0.25">
      <c r="C21" t="s">
        <v>15</v>
      </c>
    </row>
    <row r="22" spans="2:3" x14ac:dyDescent="0.25">
      <c r="C2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3FED-5155-45B3-93C7-C10FCA443CDA}">
  <dimension ref="A1:L85"/>
  <sheetViews>
    <sheetView tabSelected="1" topLeftCell="A6" workbookViewId="0">
      <selection activeCell="G17" sqref="G17"/>
    </sheetView>
  </sheetViews>
  <sheetFormatPr defaultRowHeight="15" x14ac:dyDescent="0.25"/>
  <cols>
    <col min="1" max="1" width="15.140625" customWidth="1"/>
    <col min="2" max="2" width="16.28515625" customWidth="1"/>
    <col min="3" max="3" width="12.42578125" customWidth="1"/>
    <col min="9" max="9" width="41.28515625" customWidth="1"/>
    <col min="10" max="10" width="40.42578125" customWidth="1"/>
    <col min="11" max="11" width="12.28515625" customWidth="1"/>
  </cols>
  <sheetData>
    <row r="1" spans="1:12" ht="21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I1" s="1" t="s">
        <v>112</v>
      </c>
      <c r="J1" s="1"/>
      <c r="K1" s="1"/>
      <c r="L1" s="2"/>
    </row>
    <row r="2" spans="1:12" x14ac:dyDescent="0.25">
      <c r="A2" t="s">
        <v>23</v>
      </c>
      <c r="B2" t="s">
        <v>24</v>
      </c>
      <c r="C2" t="s">
        <v>25</v>
      </c>
      <c r="D2">
        <v>1000</v>
      </c>
      <c r="E2">
        <v>30</v>
      </c>
      <c r="F2" t="s">
        <v>26</v>
      </c>
    </row>
    <row r="3" spans="1:12" x14ac:dyDescent="0.25">
      <c r="A3" t="s">
        <v>27</v>
      </c>
      <c r="B3" t="s">
        <v>28</v>
      </c>
      <c r="C3" t="s">
        <v>29</v>
      </c>
      <c r="D3">
        <v>80</v>
      </c>
      <c r="E3">
        <v>15</v>
      </c>
      <c r="F3" t="s">
        <v>30</v>
      </c>
      <c r="I3" s="4" t="s">
        <v>1</v>
      </c>
      <c r="J3" s="4"/>
    </row>
    <row r="4" spans="1:12" x14ac:dyDescent="0.25">
      <c r="A4" t="s">
        <v>31</v>
      </c>
      <c r="B4" t="s">
        <v>32</v>
      </c>
      <c r="C4" t="s">
        <v>33</v>
      </c>
      <c r="D4">
        <v>130</v>
      </c>
      <c r="E4">
        <v>40</v>
      </c>
      <c r="F4" t="s">
        <v>34</v>
      </c>
      <c r="J4" t="s">
        <v>2</v>
      </c>
    </row>
    <row r="5" spans="1:12" x14ac:dyDescent="0.25">
      <c r="A5" t="s">
        <v>35</v>
      </c>
      <c r="B5" t="s">
        <v>36</v>
      </c>
      <c r="C5" t="s">
        <v>37</v>
      </c>
      <c r="D5">
        <v>900</v>
      </c>
      <c r="E5">
        <v>25</v>
      </c>
      <c r="F5" t="s">
        <v>26</v>
      </c>
      <c r="J5" t="s">
        <v>3</v>
      </c>
    </row>
    <row r="6" spans="1:12" x14ac:dyDescent="0.25">
      <c r="A6" t="s">
        <v>38</v>
      </c>
      <c r="B6" t="s">
        <v>39</v>
      </c>
      <c r="C6" t="s">
        <v>40</v>
      </c>
      <c r="D6">
        <v>70</v>
      </c>
      <c r="E6">
        <v>20</v>
      </c>
      <c r="F6" t="s">
        <v>41</v>
      </c>
      <c r="J6" t="s">
        <v>4</v>
      </c>
    </row>
    <row r="7" spans="1:12" x14ac:dyDescent="0.25">
      <c r="A7" t="s">
        <v>42</v>
      </c>
      <c r="B7" t="s">
        <v>43</v>
      </c>
      <c r="C7" t="s">
        <v>44</v>
      </c>
      <c r="D7">
        <v>200</v>
      </c>
      <c r="E7">
        <v>45</v>
      </c>
      <c r="F7" t="s">
        <v>26</v>
      </c>
    </row>
    <row r="8" spans="1:12" x14ac:dyDescent="0.25">
      <c r="A8" t="s">
        <v>45</v>
      </c>
      <c r="B8" t="s">
        <v>46</v>
      </c>
      <c r="C8" t="s">
        <v>47</v>
      </c>
      <c r="D8">
        <v>30</v>
      </c>
      <c r="E8">
        <v>5</v>
      </c>
      <c r="F8" t="s">
        <v>30</v>
      </c>
      <c r="I8" s="3" t="s">
        <v>113</v>
      </c>
      <c r="J8" s="3">
        <f>SUM(D2:D35)</f>
        <v>10100</v>
      </c>
    </row>
    <row r="9" spans="1:12" x14ac:dyDescent="0.25">
      <c r="A9" t="s">
        <v>48</v>
      </c>
      <c r="B9" t="s">
        <v>49</v>
      </c>
      <c r="C9" t="s">
        <v>50</v>
      </c>
      <c r="D9">
        <v>90</v>
      </c>
      <c r="E9">
        <v>35</v>
      </c>
      <c r="F9" t="s">
        <v>34</v>
      </c>
      <c r="I9" s="3" t="s">
        <v>114</v>
      </c>
      <c r="J9" s="3">
        <f>COUNTA(B2:B35)</f>
        <v>34</v>
      </c>
    </row>
    <row r="10" spans="1:12" x14ac:dyDescent="0.25">
      <c r="A10" t="s">
        <v>51</v>
      </c>
      <c r="B10" t="s">
        <v>52</v>
      </c>
      <c r="C10" t="s">
        <v>53</v>
      </c>
      <c r="D10">
        <v>500</v>
      </c>
      <c r="E10">
        <v>50</v>
      </c>
      <c r="F10" t="s">
        <v>26</v>
      </c>
      <c r="I10" s="3" t="s">
        <v>115</v>
      </c>
      <c r="J10" s="3">
        <f>AVERAGE(D2:D35)</f>
        <v>297.05882352941177</v>
      </c>
    </row>
    <row r="11" spans="1:12" x14ac:dyDescent="0.25">
      <c r="A11" t="s">
        <v>54</v>
      </c>
      <c r="B11" t="s">
        <v>55</v>
      </c>
      <c r="C11" t="s">
        <v>56</v>
      </c>
      <c r="D11">
        <v>130</v>
      </c>
      <c r="E11">
        <v>10</v>
      </c>
      <c r="F11" t="s">
        <v>41</v>
      </c>
    </row>
    <row r="12" spans="1:12" x14ac:dyDescent="0.25">
      <c r="A12" t="s">
        <v>57</v>
      </c>
      <c r="B12" t="s">
        <v>24</v>
      </c>
      <c r="C12" t="s">
        <v>58</v>
      </c>
      <c r="D12">
        <v>950</v>
      </c>
      <c r="E12">
        <v>25</v>
      </c>
      <c r="F12" t="s">
        <v>26</v>
      </c>
    </row>
    <row r="13" spans="1:12" x14ac:dyDescent="0.25">
      <c r="A13" t="s">
        <v>59</v>
      </c>
      <c r="B13" t="s">
        <v>28</v>
      </c>
      <c r="C13" t="s">
        <v>47</v>
      </c>
      <c r="D13">
        <v>90</v>
      </c>
      <c r="E13">
        <v>40</v>
      </c>
      <c r="F13" t="s">
        <v>30</v>
      </c>
      <c r="I13" s="4" t="s">
        <v>5</v>
      </c>
      <c r="J13" s="4"/>
    </row>
    <row r="14" spans="1:12" x14ac:dyDescent="0.25">
      <c r="A14" t="s">
        <v>60</v>
      </c>
      <c r="B14" t="s">
        <v>32</v>
      </c>
      <c r="C14" t="s">
        <v>61</v>
      </c>
      <c r="D14">
        <v>120</v>
      </c>
      <c r="E14">
        <v>35</v>
      </c>
      <c r="F14" t="s">
        <v>34</v>
      </c>
      <c r="J14" t="s">
        <v>6</v>
      </c>
    </row>
    <row r="15" spans="1:12" x14ac:dyDescent="0.25">
      <c r="A15" t="s">
        <v>62</v>
      </c>
      <c r="B15" t="s">
        <v>63</v>
      </c>
      <c r="C15" t="s">
        <v>64</v>
      </c>
      <c r="D15">
        <v>150</v>
      </c>
      <c r="E15">
        <v>15</v>
      </c>
      <c r="F15" t="s">
        <v>26</v>
      </c>
      <c r="J15" t="s">
        <v>7</v>
      </c>
    </row>
    <row r="16" spans="1:12" x14ac:dyDescent="0.25">
      <c r="A16" t="s">
        <v>65</v>
      </c>
      <c r="B16" t="s">
        <v>43</v>
      </c>
      <c r="C16" t="s">
        <v>66</v>
      </c>
      <c r="D16">
        <v>250</v>
      </c>
      <c r="E16">
        <v>20</v>
      </c>
      <c r="F16" t="s">
        <v>26</v>
      </c>
    </row>
    <row r="17" spans="1:10" x14ac:dyDescent="0.25">
      <c r="A17" t="s">
        <v>67</v>
      </c>
      <c r="B17" t="s">
        <v>68</v>
      </c>
      <c r="C17" t="s">
        <v>69</v>
      </c>
      <c r="D17">
        <v>50</v>
      </c>
      <c r="E17">
        <v>35</v>
      </c>
      <c r="F17" t="s">
        <v>70</v>
      </c>
      <c r="I17" s="3" t="s">
        <v>116</v>
      </c>
      <c r="J17" s="3">
        <f>MIN(D2:D35)</f>
        <v>30</v>
      </c>
    </row>
    <row r="18" spans="1:10" x14ac:dyDescent="0.25">
      <c r="A18" t="s">
        <v>71</v>
      </c>
      <c r="B18" t="s">
        <v>63</v>
      </c>
      <c r="C18" t="s">
        <v>72</v>
      </c>
      <c r="D18">
        <v>160</v>
      </c>
      <c r="E18">
        <v>15</v>
      </c>
      <c r="F18" t="s">
        <v>26</v>
      </c>
      <c r="I18" s="3" t="s">
        <v>117</v>
      </c>
      <c r="J18" s="3">
        <f>MAX(D2:D35)</f>
        <v>1000</v>
      </c>
    </row>
    <row r="19" spans="1:10" x14ac:dyDescent="0.25">
      <c r="A19" t="s">
        <v>73</v>
      </c>
      <c r="B19" t="s">
        <v>24</v>
      </c>
      <c r="C19" t="s">
        <v>74</v>
      </c>
      <c r="D19">
        <v>980</v>
      </c>
      <c r="E19">
        <v>10</v>
      </c>
      <c r="F19" t="s">
        <v>26</v>
      </c>
    </row>
    <row r="20" spans="1:10" x14ac:dyDescent="0.25">
      <c r="A20" t="s">
        <v>75</v>
      </c>
      <c r="B20" t="s">
        <v>76</v>
      </c>
      <c r="C20" t="s">
        <v>77</v>
      </c>
      <c r="D20">
        <v>150</v>
      </c>
      <c r="E20">
        <v>15</v>
      </c>
      <c r="F20" t="s">
        <v>30</v>
      </c>
      <c r="I20" s="4" t="s">
        <v>8</v>
      </c>
    </row>
    <row r="21" spans="1:10" x14ac:dyDescent="0.25">
      <c r="A21" t="s">
        <v>78</v>
      </c>
      <c r="B21" t="s">
        <v>79</v>
      </c>
      <c r="C21" t="s">
        <v>80</v>
      </c>
      <c r="D21">
        <v>200</v>
      </c>
      <c r="E21">
        <v>10</v>
      </c>
      <c r="F21" t="s">
        <v>41</v>
      </c>
      <c r="J21" t="s">
        <v>9</v>
      </c>
    </row>
    <row r="22" spans="1:10" ht="15.75" thickBot="1" x14ac:dyDescent="0.3">
      <c r="A22" t="s">
        <v>81</v>
      </c>
      <c r="B22" t="s">
        <v>82</v>
      </c>
      <c r="C22" t="s">
        <v>83</v>
      </c>
      <c r="D22">
        <v>700</v>
      </c>
      <c r="E22">
        <v>50</v>
      </c>
      <c r="F22" t="s">
        <v>26</v>
      </c>
    </row>
    <row r="23" spans="1:10" x14ac:dyDescent="0.25">
      <c r="A23" t="s">
        <v>84</v>
      </c>
      <c r="B23" t="s">
        <v>85</v>
      </c>
      <c r="C23" t="s">
        <v>86</v>
      </c>
      <c r="D23">
        <v>80</v>
      </c>
      <c r="E23">
        <v>20</v>
      </c>
      <c r="F23" t="s">
        <v>34</v>
      </c>
      <c r="I23" s="7" t="s">
        <v>118</v>
      </c>
    </row>
    <row r="24" spans="1:10" x14ac:dyDescent="0.25">
      <c r="A24" t="s">
        <v>87</v>
      </c>
      <c r="B24" t="s">
        <v>88</v>
      </c>
      <c r="C24" t="s">
        <v>89</v>
      </c>
      <c r="D24">
        <v>150</v>
      </c>
      <c r="E24">
        <v>30</v>
      </c>
      <c r="F24" t="s">
        <v>26</v>
      </c>
      <c r="I24" s="5" t="str">
        <f>IF(D2&gt;=500,"High Price","Standard Price")</f>
        <v>High Price</v>
      </c>
    </row>
    <row r="25" spans="1:10" x14ac:dyDescent="0.25">
      <c r="A25" t="s">
        <v>67</v>
      </c>
      <c r="B25" t="s">
        <v>68</v>
      </c>
      <c r="C25" t="s">
        <v>69</v>
      </c>
      <c r="D25">
        <v>50</v>
      </c>
      <c r="E25">
        <v>35</v>
      </c>
      <c r="F25" t="s">
        <v>70</v>
      </c>
      <c r="I25" s="5" t="str">
        <f>IF(D3&gt;=500,"High Price","Standard Price")</f>
        <v>Standard Price</v>
      </c>
    </row>
    <row r="26" spans="1:10" x14ac:dyDescent="0.25">
      <c r="A26" t="s">
        <v>90</v>
      </c>
      <c r="B26" t="s">
        <v>36</v>
      </c>
      <c r="C26" t="s">
        <v>91</v>
      </c>
      <c r="D26">
        <v>800</v>
      </c>
      <c r="E26">
        <v>45</v>
      </c>
      <c r="F26" t="s">
        <v>26</v>
      </c>
      <c r="I26" s="5" t="str">
        <f>IF(D4&gt;=500,"High Price","Standard Price")</f>
        <v>Standard Price</v>
      </c>
    </row>
    <row r="27" spans="1:10" x14ac:dyDescent="0.25">
      <c r="A27" t="s">
        <v>92</v>
      </c>
      <c r="B27" t="s">
        <v>76</v>
      </c>
      <c r="C27" t="s">
        <v>93</v>
      </c>
      <c r="D27">
        <v>130</v>
      </c>
      <c r="E27">
        <v>25</v>
      </c>
      <c r="F27" t="s">
        <v>30</v>
      </c>
      <c r="I27" s="5" t="str">
        <f>IF(D5&gt;=500,"High Price","Standard Price")</f>
        <v>High Price</v>
      </c>
    </row>
    <row r="28" spans="1:10" x14ac:dyDescent="0.25">
      <c r="A28" t="s">
        <v>94</v>
      </c>
      <c r="B28" t="s">
        <v>49</v>
      </c>
      <c r="C28" t="s">
        <v>95</v>
      </c>
      <c r="D28">
        <v>400</v>
      </c>
      <c r="E28">
        <v>40</v>
      </c>
      <c r="F28" t="s">
        <v>34</v>
      </c>
      <c r="I28" s="5" t="str">
        <f>IF(D6&gt;=500,"High Price","Standard Price")</f>
        <v>Standard Price</v>
      </c>
    </row>
    <row r="29" spans="1:10" x14ac:dyDescent="0.25">
      <c r="A29" t="s">
        <v>65</v>
      </c>
      <c r="B29" t="s">
        <v>43</v>
      </c>
      <c r="C29" t="s">
        <v>66</v>
      </c>
      <c r="D29">
        <v>230</v>
      </c>
      <c r="E29">
        <v>20</v>
      </c>
      <c r="F29" t="s">
        <v>26</v>
      </c>
      <c r="I29" s="5" t="str">
        <f>IF(D7&gt;=500,"High Price","Standard Price")</f>
        <v>Standard Price</v>
      </c>
    </row>
    <row r="30" spans="1:10" x14ac:dyDescent="0.25">
      <c r="A30" t="s">
        <v>96</v>
      </c>
      <c r="B30" t="s">
        <v>97</v>
      </c>
      <c r="C30" t="s">
        <v>98</v>
      </c>
      <c r="D30">
        <v>60</v>
      </c>
      <c r="E30">
        <v>30</v>
      </c>
      <c r="F30" t="s">
        <v>30</v>
      </c>
      <c r="I30" s="5" t="str">
        <f>IF(D8&gt;=500,"High Price","Standard Price")</f>
        <v>Standard Price</v>
      </c>
    </row>
    <row r="31" spans="1:10" x14ac:dyDescent="0.25">
      <c r="A31" t="s">
        <v>99</v>
      </c>
      <c r="B31" t="s">
        <v>100</v>
      </c>
      <c r="C31" t="s">
        <v>101</v>
      </c>
      <c r="D31">
        <v>40</v>
      </c>
      <c r="E31">
        <v>10</v>
      </c>
      <c r="F31" t="s">
        <v>34</v>
      </c>
      <c r="I31" s="5" t="str">
        <f>IF(D9&gt;=500,"High Price","Standard Price")</f>
        <v>Standard Price</v>
      </c>
    </row>
    <row r="32" spans="1:10" x14ac:dyDescent="0.25">
      <c r="A32" t="s">
        <v>102</v>
      </c>
      <c r="B32" t="s">
        <v>88</v>
      </c>
      <c r="C32" t="s">
        <v>103</v>
      </c>
      <c r="D32">
        <v>130</v>
      </c>
      <c r="E32">
        <v>5</v>
      </c>
      <c r="F32" t="s">
        <v>26</v>
      </c>
      <c r="I32" s="5" t="str">
        <f>IF(D10&gt;=500,"High Price","Standard Price")</f>
        <v>High Price</v>
      </c>
    </row>
    <row r="33" spans="1:10" x14ac:dyDescent="0.25">
      <c r="A33" t="s">
        <v>104</v>
      </c>
      <c r="B33" t="s">
        <v>105</v>
      </c>
      <c r="C33" t="s">
        <v>106</v>
      </c>
      <c r="D33">
        <v>50</v>
      </c>
      <c r="E33">
        <v>50</v>
      </c>
      <c r="F33" t="s">
        <v>30</v>
      </c>
      <c r="I33" s="5" t="str">
        <f>IF(D11&gt;=500,"High Price","Standard Price")</f>
        <v>Standard Price</v>
      </c>
    </row>
    <row r="34" spans="1:10" x14ac:dyDescent="0.25">
      <c r="A34" t="s">
        <v>57</v>
      </c>
      <c r="B34" t="s">
        <v>24</v>
      </c>
      <c r="C34" t="s">
        <v>58</v>
      </c>
      <c r="D34">
        <v>950</v>
      </c>
      <c r="E34">
        <v>25</v>
      </c>
      <c r="F34" t="s">
        <v>26</v>
      </c>
      <c r="I34" s="5" t="str">
        <f>IF(D12&gt;=500,"High Price","Standard Price")</f>
        <v>High Price</v>
      </c>
    </row>
    <row r="35" spans="1:10" x14ac:dyDescent="0.25">
      <c r="A35" t="s">
        <v>107</v>
      </c>
      <c r="B35" t="s">
        <v>108</v>
      </c>
      <c r="C35" t="s">
        <v>109</v>
      </c>
      <c r="D35">
        <v>100</v>
      </c>
      <c r="E35">
        <v>20</v>
      </c>
      <c r="F35" t="s">
        <v>70</v>
      </c>
      <c r="I35" s="5" t="str">
        <f>IF(D13&gt;=500,"High Price","Standard Price")</f>
        <v>Standard Price</v>
      </c>
    </row>
    <row r="36" spans="1:10" x14ac:dyDescent="0.25">
      <c r="I36" s="5" t="str">
        <f>IF(D14&gt;=500,"High Price","Standard Price")</f>
        <v>Standard Price</v>
      </c>
    </row>
    <row r="37" spans="1:10" ht="15.75" thickBot="1" x14ac:dyDescent="0.3">
      <c r="I37" s="6" t="str">
        <f>IF(D15&gt;=500,"High Price","Standard Price")</f>
        <v>Standard Price</v>
      </c>
    </row>
    <row r="39" spans="1:10" x14ac:dyDescent="0.25">
      <c r="I39" s="4" t="s">
        <v>10</v>
      </c>
    </row>
    <row r="40" spans="1:10" x14ac:dyDescent="0.25">
      <c r="J40" t="s">
        <v>11</v>
      </c>
    </row>
    <row r="41" spans="1:10" x14ac:dyDescent="0.25">
      <c r="J41" t="s">
        <v>12</v>
      </c>
    </row>
    <row r="43" spans="1:10" x14ac:dyDescent="0.25">
      <c r="I43" s="3" t="s">
        <v>110</v>
      </c>
      <c r="J43" s="3">
        <f>SUMIF(F2:F35,"Electronics",D2:D35)</f>
        <v>8050</v>
      </c>
    </row>
    <row r="44" spans="1:10" x14ac:dyDescent="0.25">
      <c r="I44" s="3" t="s">
        <v>111</v>
      </c>
      <c r="J44" s="3">
        <f>COUNTIF(D2:D35,"&lt;100")</f>
        <v>11</v>
      </c>
    </row>
    <row r="47" spans="1:10" x14ac:dyDescent="0.25">
      <c r="I47" s="4" t="s">
        <v>13</v>
      </c>
    </row>
    <row r="48" spans="1:10" x14ac:dyDescent="0.25">
      <c r="J48" t="s">
        <v>14</v>
      </c>
    </row>
    <row r="49" spans="9:12" x14ac:dyDescent="0.25">
      <c r="J49" t="s">
        <v>15</v>
      </c>
    </row>
    <row r="50" spans="9:12" x14ac:dyDescent="0.25">
      <c r="J50" t="s">
        <v>16</v>
      </c>
    </row>
    <row r="52" spans="9:12" x14ac:dyDescent="0.25">
      <c r="I52" s="3" t="s">
        <v>119</v>
      </c>
      <c r="J52" s="3" t="s">
        <v>120</v>
      </c>
      <c r="K52" s="3" t="s">
        <v>121</v>
      </c>
      <c r="L52" s="3"/>
    </row>
    <row r="53" spans="9:12" x14ac:dyDescent="0.25">
      <c r="I53" t="str">
        <f>LEFT(A2,2)</f>
        <v>28</v>
      </c>
      <c r="J53" t="str">
        <f>RIGHT(A2,2)</f>
        <v>US</v>
      </c>
      <c r="K53" t="str">
        <f>MID(A2,4,3)</f>
        <v>JAN</v>
      </c>
    </row>
    <row r="54" spans="9:12" x14ac:dyDescent="0.25">
      <c r="I54" t="str">
        <f>LEFT(A3,2)</f>
        <v>15</v>
      </c>
      <c r="J54" t="str">
        <f>RIGHT(A3,2)</f>
        <v>US</v>
      </c>
      <c r="K54" t="str">
        <f>MID(A3,4,3)</f>
        <v>FEB</v>
      </c>
    </row>
    <row r="55" spans="9:12" x14ac:dyDescent="0.25">
      <c r="I55" t="str">
        <f>LEFT(A4,2)</f>
        <v>03</v>
      </c>
      <c r="J55" t="str">
        <f>RIGHT(A4,2)</f>
        <v>US</v>
      </c>
      <c r="K55" t="str">
        <f>MID(A4,4,3)</f>
        <v>MAR</v>
      </c>
    </row>
    <row r="56" spans="9:12" x14ac:dyDescent="0.25">
      <c r="I56" t="str">
        <f>LEFT(A5,2)</f>
        <v>11</v>
      </c>
      <c r="J56" t="str">
        <f>RIGHT(A5,2)</f>
        <v>US</v>
      </c>
      <c r="K56" t="str">
        <f>MID(A5,4,3)</f>
        <v>APR</v>
      </c>
    </row>
    <row r="57" spans="9:12" x14ac:dyDescent="0.25">
      <c r="I57" t="str">
        <f>LEFT(A6,2)</f>
        <v>22</v>
      </c>
      <c r="J57" t="str">
        <f>RIGHT(A6,2)</f>
        <v>US</v>
      </c>
      <c r="K57" t="str">
        <f>MID(A6,4,3)</f>
        <v>MAY</v>
      </c>
    </row>
    <row r="58" spans="9:12" x14ac:dyDescent="0.25">
      <c r="I58" t="str">
        <f>LEFT(A7,2)</f>
        <v>07</v>
      </c>
      <c r="J58" t="str">
        <f>RIGHT(A7,2)</f>
        <v>UK</v>
      </c>
      <c r="K58" t="str">
        <f>MID(A7,4,3)</f>
        <v>JUN</v>
      </c>
    </row>
    <row r="59" spans="9:12" x14ac:dyDescent="0.25">
      <c r="I59" t="str">
        <f>LEFT(A8,2)</f>
        <v>19</v>
      </c>
      <c r="J59" t="str">
        <f>RIGHT(A8,2)</f>
        <v>UK</v>
      </c>
      <c r="K59" t="str">
        <f>MID(A8,4,3)</f>
        <v>JUL</v>
      </c>
    </row>
    <row r="60" spans="9:12" x14ac:dyDescent="0.25">
      <c r="I60" t="str">
        <f>LEFT(A9,2)</f>
        <v>23</v>
      </c>
      <c r="J60" t="str">
        <f>RIGHT(A9,2)</f>
        <v>UK</v>
      </c>
      <c r="K60" t="str">
        <f>MID(A9,4,3)</f>
        <v>AUG</v>
      </c>
    </row>
    <row r="61" spans="9:12" x14ac:dyDescent="0.25">
      <c r="I61" t="str">
        <f>LEFT(A10,2)</f>
        <v>05</v>
      </c>
      <c r="J61" t="str">
        <f>RIGHT(A10,2)</f>
        <v>UK</v>
      </c>
      <c r="K61" t="str">
        <f>MID(A10,4,3)</f>
        <v>SEP</v>
      </c>
    </row>
    <row r="62" spans="9:12" x14ac:dyDescent="0.25">
      <c r="I62" t="str">
        <f>LEFT(A11,2)</f>
        <v>14</v>
      </c>
      <c r="J62" t="str">
        <f>RIGHT(A11,2)</f>
        <v>UK</v>
      </c>
      <c r="K62" t="str">
        <f>MID(A11,4,3)</f>
        <v>OCT</v>
      </c>
    </row>
    <row r="63" spans="9:12" x14ac:dyDescent="0.25">
      <c r="I63" t="str">
        <f>LEFT(A12,2)</f>
        <v>17</v>
      </c>
      <c r="J63" t="str">
        <f>RIGHT(A12,2)</f>
        <v>IN</v>
      </c>
      <c r="K63" t="str">
        <f>MID(A12,4,3)</f>
        <v>JUN</v>
      </c>
    </row>
    <row r="64" spans="9:12" x14ac:dyDescent="0.25">
      <c r="I64" t="str">
        <f>LEFT(A13,2)</f>
        <v>25</v>
      </c>
      <c r="J64" t="str">
        <f>RIGHT(A13,2)</f>
        <v>AU</v>
      </c>
      <c r="K64" t="str">
        <f>MID(A13,4,3)</f>
        <v>NOV</v>
      </c>
    </row>
    <row r="65" spans="9:11" x14ac:dyDescent="0.25">
      <c r="I65" t="str">
        <f>LEFT(A14,2)</f>
        <v>08</v>
      </c>
      <c r="J65" t="str">
        <f>RIGHT(A14,2)</f>
        <v>DE</v>
      </c>
      <c r="K65" t="str">
        <f>MID(A14,4,3)</f>
        <v>DEC</v>
      </c>
    </row>
    <row r="66" spans="9:11" x14ac:dyDescent="0.25">
      <c r="I66" t="str">
        <f>LEFT(A15,2)</f>
        <v>18</v>
      </c>
      <c r="J66" t="str">
        <f>RIGHT(A15,2)</f>
        <v>CA</v>
      </c>
      <c r="K66" t="str">
        <f>MID(A15,4,3)</f>
        <v>FEB</v>
      </c>
    </row>
    <row r="67" spans="9:11" x14ac:dyDescent="0.25">
      <c r="I67" t="str">
        <f>LEFT(A16,2)</f>
        <v>16</v>
      </c>
      <c r="J67" t="str">
        <f>RIGHT(A16,2)</f>
        <v>ES</v>
      </c>
      <c r="K67" t="str">
        <f>MID(A16,4,3)</f>
        <v>APR</v>
      </c>
    </row>
    <row r="68" spans="9:11" x14ac:dyDescent="0.25">
      <c r="I68" t="str">
        <f>LEFT(A17,2)</f>
        <v>21</v>
      </c>
      <c r="J68" t="str">
        <f>RIGHT(A17,2)</f>
        <v>CA</v>
      </c>
      <c r="K68" t="str">
        <f>MID(A17,4,3)</f>
        <v>AUG</v>
      </c>
    </row>
    <row r="69" spans="9:11" x14ac:dyDescent="0.25">
      <c r="I69" t="str">
        <f>LEFT(A18,2)</f>
        <v>20</v>
      </c>
      <c r="J69" t="str">
        <f>RIGHT(A18,2)</f>
        <v>CN</v>
      </c>
      <c r="K69" t="str">
        <f>MID(A18,4,3)</f>
        <v>AUG</v>
      </c>
    </row>
    <row r="70" spans="9:11" x14ac:dyDescent="0.25">
      <c r="I70" t="str">
        <f>LEFT(A19,2)</f>
        <v>27</v>
      </c>
      <c r="J70" t="str">
        <f>RIGHT(A19,2)</f>
        <v>IT</v>
      </c>
      <c r="K70" t="str">
        <f>MID(A19,4,3)</f>
        <v>JAN</v>
      </c>
    </row>
    <row r="71" spans="9:11" x14ac:dyDescent="0.25">
      <c r="I71" t="str">
        <f>LEFT(A20,2)</f>
        <v>01</v>
      </c>
      <c r="J71" t="str">
        <f>RIGHT(A20,2)</f>
        <v>UK</v>
      </c>
      <c r="K71" t="str">
        <f>MID(A20,4,3)</f>
        <v>MAR</v>
      </c>
    </row>
    <row r="72" spans="9:11" x14ac:dyDescent="0.25">
      <c r="I72" t="str">
        <f>LEFT(A21,2)</f>
        <v>14</v>
      </c>
      <c r="J72" t="str">
        <f>RIGHT(A21,2)</f>
        <v>US</v>
      </c>
      <c r="K72" t="str">
        <f>MID(A21,4,3)</f>
        <v>AUG</v>
      </c>
    </row>
    <row r="73" spans="9:11" x14ac:dyDescent="0.25">
      <c r="I73" t="str">
        <f>LEFT(A22,2)</f>
        <v>14</v>
      </c>
      <c r="J73" t="str">
        <f>RIGHT(A22,2)</f>
        <v>RU</v>
      </c>
      <c r="K73" t="str">
        <f>MID(A22,4,3)</f>
        <v>MAY</v>
      </c>
    </row>
    <row r="74" spans="9:11" x14ac:dyDescent="0.25">
      <c r="I74" t="str">
        <f>LEFT(A23,2)</f>
        <v>09</v>
      </c>
      <c r="J74" t="str">
        <f>RIGHT(A23,2)</f>
        <v>CA</v>
      </c>
      <c r="K74" t="str">
        <f>MID(A23,4,3)</f>
        <v>JAN</v>
      </c>
    </row>
    <row r="75" spans="9:11" x14ac:dyDescent="0.25">
      <c r="I75" t="str">
        <f>LEFT(A24,2)</f>
        <v>19</v>
      </c>
      <c r="J75" t="str">
        <f>RIGHT(A24,2)</f>
        <v>BR</v>
      </c>
      <c r="K75" t="str">
        <f>MID(A24,4,3)</f>
        <v>JUL</v>
      </c>
    </row>
    <row r="76" spans="9:11" x14ac:dyDescent="0.25">
      <c r="I76" t="str">
        <f>LEFT(A25,2)</f>
        <v>21</v>
      </c>
      <c r="J76" t="str">
        <f>RIGHT(A25,2)</f>
        <v>CA</v>
      </c>
      <c r="K76" t="str">
        <f>MID(A25,4,3)</f>
        <v>AUG</v>
      </c>
    </row>
    <row r="77" spans="9:11" x14ac:dyDescent="0.25">
      <c r="I77" t="str">
        <f>LEFT(A26,2)</f>
        <v>29</v>
      </c>
      <c r="J77" t="str">
        <f>RIGHT(A26,2)</f>
        <v>CA</v>
      </c>
      <c r="K77" t="str">
        <f>MID(A26,4,3)</f>
        <v>SEP</v>
      </c>
    </row>
    <row r="78" spans="9:11" x14ac:dyDescent="0.25">
      <c r="I78" t="str">
        <f>LEFT(A27,2)</f>
        <v>03</v>
      </c>
      <c r="J78" t="str">
        <f>RIGHT(A27,2)</f>
        <v>CA</v>
      </c>
      <c r="K78" t="str">
        <f>MID(A27,4,3)</f>
        <v>JUN</v>
      </c>
    </row>
    <row r="79" spans="9:11" x14ac:dyDescent="0.25">
      <c r="I79" t="str">
        <f>LEFT(A28,2)</f>
        <v>11</v>
      </c>
      <c r="J79" t="str">
        <f>RIGHT(A28,2)</f>
        <v>CA</v>
      </c>
      <c r="K79" t="str">
        <f>MID(A28,4,3)</f>
        <v>JUL</v>
      </c>
    </row>
    <row r="80" spans="9:11" x14ac:dyDescent="0.25">
      <c r="I80" t="str">
        <f>LEFT(A29,2)</f>
        <v>16</v>
      </c>
      <c r="J80" t="str">
        <f>RIGHT(A29,2)</f>
        <v>ES</v>
      </c>
      <c r="K80" t="str">
        <f>MID(A29,4,3)</f>
        <v>APR</v>
      </c>
    </row>
    <row r="81" spans="9:11" x14ac:dyDescent="0.25">
      <c r="I81" t="str">
        <f>LEFT(A30,2)</f>
        <v>07</v>
      </c>
      <c r="J81" t="str">
        <f>RIGHT(A30,2)</f>
        <v>CA</v>
      </c>
      <c r="K81" t="str">
        <f>MID(A30,4,3)</f>
        <v>MAR</v>
      </c>
    </row>
    <row r="82" spans="9:11" x14ac:dyDescent="0.25">
      <c r="I82" t="str">
        <f>LEFT(A31,2)</f>
        <v>13</v>
      </c>
      <c r="J82" t="str">
        <f>RIGHT(A31,2)</f>
        <v>CA</v>
      </c>
      <c r="K82" t="str">
        <f>MID(A31,4,3)</f>
        <v>APR</v>
      </c>
    </row>
    <row r="83" spans="9:11" x14ac:dyDescent="0.25">
      <c r="I83" t="str">
        <f>LEFT(A32,2)</f>
        <v>24</v>
      </c>
      <c r="J83" t="str">
        <f>RIGHT(A32,2)</f>
        <v>CA</v>
      </c>
      <c r="K83" t="str">
        <f>MID(A32,4,3)</f>
        <v>MAY</v>
      </c>
    </row>
    <row r="84" spans="9:11" x14ac:dyDescent="0.25">
      <c r="I84" t="str">
        <f>LEFT(A33,2)</f>
        <v>02</v>
      </c>
      <c r="J84" t="str">
        <f>RIGHT(A33,2)</f>
        <v>CA</v>
      </c>
      <c r="K84" t="str">
        <f>MID(A33,4,3)</f>
        <v>DEC</v>
      </c>
    </row>
    <row r="85" spans="9:11" x14ac:dyDescent="0.25">
      <c r="I85" t="str">
        <f>LEFT(A34,2)</f>
        <v>17</v>
      </c>
      <c r="J85" t="str">
        <f>RIGHT(A34,2)</f>
        <v>IN</v>
      </c>
      <c r="K85" t="str">
        <f>MID(A34,4,3)</f>
        <v>JUN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2026-08-19T14:58:20Z</dcterms:created>
  <dcterms:modified xsi:type="dcterms:W3CDTF">2026-08-19T17:25:54Z</dcterms:modified>
</cp:coreProperties>
</file>