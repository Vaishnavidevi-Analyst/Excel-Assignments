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Entri Courses Assignments\"/>
    </mc:Choice>
  </mc:AlternateContent>
  <xr:revisionPtr revIDLastSave="0" documentId="13_ncr:1_{8EBA2A78-D355-4704-8BC1-11A138207811}" xr6:coauthVersionLast="47" xr6:coauthVersionMax="47" xr10:uidLastSave="{00000000-0000-0000-0000-000000000000}"/>
  <bookViews>
    <workbookView xWindow="-120" yWindow="-120" windowWidth="19440" windowHeight="11640" activeTab="2" xr2:uid="{00000000-000D-0000-FFFF-FFFF00000000}"/>
  </bookViews>
  <sheets>
    <sheet name="Oroginal Data Set" sheetId="2" r:id="rId1"/>
    <sheet name="Answer Sheet" sheetId="3" r:id="rId2"/>
    <sheet name="About my Assignment 2 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</calcChain>
</file>

<file path=xl/sharedStrings.xml><?xml version="1.0" encoding="utf-8"?>
<sst xmlns="http://schemas.openxmlformats.org/spreadsheetml/2006/main" count="254" uniqueCount="111">
  <si>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</si>
  <si>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</si>
  <si>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</si>
  <si>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</si>
  <si>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</si>
  <si>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</si>
  <si>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</si>
  <si>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</si>
  <si>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</si>
  <si>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</si>
  <si>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</si>
  <si>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</si>
  <si>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</si>
  <si>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</si>
  <si>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</si>
  <si>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</si>
  <si>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</si>
  <si>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</si>
  <si>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</si>
  <si>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</si>
  <si>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</si>
  <si>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</si>
  <si>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</si>
  <si>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</si>
  <si>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</si>
  <si>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</si>
  <si>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</si>
  <si>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</si>
  <si>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</si>
  <si>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</si>
  <si>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</si>
  <si>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</si>
  <si>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</si>
  <si>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</si>
  <si>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</si>
  <si>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</si>
  <si>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</si>
  <si>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</si>
  <si>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</si>
  <si>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</si>
  <si>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</si>
  <si>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</si>
  <si>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</si>
  <si>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</si>
  <si>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</si>
  <si>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</si>
  <si>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</si>
  <si>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</si>
  <si>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</si>
  <si>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</si>
  <si>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</si>
  <si>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</si>
  <si>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</si>
  <si>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</si>
  <si>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</si>
  <si>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</si>
  <si>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</si>
  <si>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</si>
  <si>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</si>
  <si>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</si>
  <si>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</si>
  <si>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</si>
  <si>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</si>
  <si>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</si>
  <si>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</si>
  <si>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</si>
  <si>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</si>
  <si>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</si>
  <si>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</si>
  <si>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</si>
  <si>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</si>
  <si>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</si>
  <si>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</si>
  <si>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</si>
  <si>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</si>
  <si>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</si>
  <si>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</si>
  <si>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</si>
  <si>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</si>
  <si>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</si>
  <si>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</si>
  <si>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</si>
  <si>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</si>
  <si>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</si>
  <si>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</si>
  <si>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</si>
  <si>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</si>
  <si>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</si>
  <si>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</si>
  <si>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</si>
  <si>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</si>
  <si>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</si>
  <si>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</si>
  <si>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</si>
  <si>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</si>
  <si>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</si>
  <si>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</si>
  <si>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Brand</t>
  </si>
  <si>
    <t>Manufacturing Date</t>
  </si>
  <si>
    <t>Country Date</t>
  </si>
  <si>
    <t>(Home  -&gt;  Conditional Formatting  -&gt;  Highlight Cells Rules  -&gt;  Text that Contains  -&gt;  Category  -&gt;  select Color  -&gt;  Ok)</t>
  </si>
  <si>
    <r>
      <t xml:space="preserve">2.For </t>
    </r>
    <r>
      <rPr>
        <b/>
        <sz val="10"/>
        <color rgb="FFFF0000"/>
        <rFont val="Arial"/>
        <family val="2"/>
        <scheme val="minor"/>
      </rPr>
      <t>impute</t>
    </r>
    <r>
      <rPr>
        <b/>
        <sz val="10"/>
        <color rgb="FF000000"/>
        <rFont val="Arial"/>
        <family val="2"/>
        <scheme val="minor"/>
      </rPr>
      <t xml:space="preserve"> the </t>
    </r>
    <r>
      <rPr>
        <b/>
        <sz val="10"/>
        <color rgb="FFFF0000"/>
        <rFont val="Arial"/>
        <family val="2"/>
        <scheme val="minor"/>
      </rPr>
      <t>values</t>
    </r>
    <r>
      <rPr>
        <b/>
        <sz val="10"/>
        <color rgb="FF000000"/>
        <rFont val="Arial"/>
        <family val="2"/>
        <scheme val="minor"/>
      </rPr>
      <t xml:space="preserve"> in the table ,I use </t>
    </r>
    <r>
      <rPr>
        <b/>
        <sz val="10"/>
        <color rgb="FFFF0000"/>
        <rFont val="Arial"/>
        <family val="2"/>
        <scheme val="minor"/>
      </rPr>
      <t>ISBLANK</t>
    </r>
    <r>
      <rPr>
        <b/>
        <sz val="10"/>
        <color rgb="FF000000"/>
        <rFont val="Arial"/>
        <family val="2"/>
        <scheme val="minor"/>
      </rPr>
      <t xml:space="preserve">, inside the </t>
    </r>
    <r>
      <rPr>
        <b/>
        <sz val="10"/>
        <color rgb="FFFF0000"/>
        <rFont val="Arial"/>
        <family val="2"/>
        <scheme val="minor"/>
      </rPr>
      <t>IF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condition</t>
    </r>
    <r>
      <rPr>
        <b/>
        <sz val="10"/>
        <color rgb="FF000000"/>
        <rFont val="Arial"/>
        <family val="2"/>
        <scheme val="minor"/>
      </rPr>
      <t xml:space="preserve"> ,if the value is empty </t>
    </r>
    <r>
      <rPr>
        <b/>
        <sz val="10"/>
        <color rgb="FFFF0000"/>
        <rFont val="Arial"/>
        <family val="2"/>
        <scheme val="minor"/>
      </rPr>
      <t>returns</t>
    </r>
    <r>
      <rPr>
        <b/>
        <sz val="10"/>
        <color rgb="FF000000"/>
        <rFont val="Arial"/>
        <family val="2"/>
        <scheme val="minor"/>
      </rPr>
      <t xml:space="preserve"> "</t>
    </r>
    <r>
      <rPr>
        <b/>
        <sz val="10"/>
        <color rgb="FFFF0000"/>
        <rFont val="Arial"/>
        <family val="2"/>
        <scheme val="minor"/>
      </rPr>
      <t>UNKNOWN</t>
    </r>
    <r>
      <rPr>
        <b/>
        <sz val="10"/>
        <color rgb="FF000000"/>
        <rFont val="Arial"/>
        <family val="2"/>
        <scheme val="minor"/>
      </rPr>
      <t xml:space="preserve">" else </t>
    </r>
    <r>
      <rPr>
        <b/>
        <sz val="10"/>
        <color rgb="FFFF0000"/>
        <rFont val="Arial"/>
        <family val="2"/>
        <scheme val="minor"/>
      </rPr>
      <t>returns</t>
    </r>
    <r>
      <rPr>
        <b/>
        <sz val="10"/>
        <color rgb="FF000000"/>
        <rFont val="Arial"/>
        <family val="2"/>
        <scheme val="minor"/>
      </rPr>
      <t xml:space="preserve"> the </t>
    </r>
    <r>
      <rPr>
        <b/>
        <sz val="10"/>
        <color rgb="FFFF0000"/>
        <rFont val="Arial"/>
        <family val="2"/>
        <scheme val="minor"/>
      </rPr>
      <t>same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values</t>
    </r>
    <r>
      <rPr>
        <b/>
        <sz val="10"/>
        <color rgb="FF000000"/>
        <rFont val="Arial"/>
        <family val="2"/>
        <scheme val="minor"/>
      </rPr>
      <t>.</t>
    </r>
  </si>
  <si>
    <r>
      <t xml:space="preserve">3.Same as I did it in </t>
    </r>
    <r>
      <rPr>
        <b/>
        <sz val="10"/>
        <color rgb="FFFF0000"/>
        <rFont val="Arial"/>
        <family val="2"/>
        <scheme val="minor"/>
      </rPr>
      <t>category</t>
    </r>
    <r>
      <rPr>
        <b/>
        <sz val="10"/>
        <color rgb="FF000000"/>
        <rFont val="Arial"/>
        <family val="2"/>
        <scheme val="minor"/>
      </rPr>
      <t xml:space="preserve"> column also</t>
    </r>
  </si>
  <si>
    <r>
      <t xml:space="preserve">1.As you said in class, using remove duplicate from </t>
    </r>
    <r>
      <rPr>
        <b/>
        <sz val="10"/>
        <color rgb="FFFF0000"/>
        <rFont val="Arial"/>
        <family val="2"/>
        <scheme val="minor"/>
      </rPr>
      <t>data</t>
    </r>
    <r>
      <rPr>
        <b/>
        <sz val="10"/>
        <color rgb="FF000000"/>
        <rFont val="Arial"/>
        <family val="2"/>
        <scheme val="minor"/>
      </rPr>
      <t xml:space="preserve"> option I </t>
    </r>
    <r>
      <rPr>
        <b/>
        <sz val="10"/>
        <color rgb="FFFF0000"/>
        <rFont val="Arial"/>
        <family val="2"/>
        <scheme val="minor"/>
      </rPr>
      <t>removed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3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duplicte</t>
    </r>
    <r>
      <rPr>
        <b/>
        <sz val="10"/>
        <color rgb="FF000000"/>
        <rFont val="Arial"/>
        <family val="2"/>
        <scheme val="minor"/>
      </rPr>
      <t xml:space="preserve"> files from this 35 files .</t>
    </r>
  </si>
  <si>
    <r>
      <t xml:space="preserve">4.I get </t>
    </r>
    <r>
      <rPr>
        <b/>
        <sz val="10"/>
        <color rgb="FFFF0000"/>
        <rFont val="Arial"/>
        <family val="2"/>
        <scheme val="minor"/>
      </rPr>
      <t>roundup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values</t>
    </r>
    <r>
      <rPr>
        <b/>
        <sz val="10"/>
        <color rgb="FF000000"/>
        <rFont val="Arial"/>
        <family val="2"/>
        <scheme val="minor"/>
      </rPr>
      <t xml:space="preserve"> in the</t>
    </r>
    <r>
      <rPr>
        <b/>
        <sz val="10"/>
        <color rgb="FFFF0000"/>
        <rFont val="Arial"/>
        <family val="2"/>
        <scheme val="minor"/>
      </rPr>
      <t xml:space="preserve"> price column </t>
    </r>
    <r>
      <rPr>
        <sz val="10"/>
        <rFont val="Arial"/>
        <family val="2"/>
        <scheme val="minor"/>
      </rPr>
      <t>using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Arial"/>
        <family val="2"/>
        <scheme val="minor"/>
      </rPr>
      <t>decrease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Arial"/>
        <family val="2"/>
        <scheme val="minor"/>
      </rPr>
      <t>decimal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rFont val="Arial"/>
        <family val="2"/>
        <scheme val="minor"/>
      </rPr>
      <t>option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rFont val="Arial"/>
        <family val="2"/>
        <scheme val="minor"/>
      </rPr>
      <t>in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Arial"/>
        <family val="2"/>
        <scheme val="minor"/>
      </rPr>
      <t>home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Arial"/>
        <family val="2"/>
        <scheme val="minor"/>
      </rPr>
      <t>tab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.</t>
    </r>
  </si>
  <si>
    <r>
      <t xml:space="preserve">5.Using </t>
    </r>
    <r>
      <rPr>
        <b/>
        <sz val="10"/>
        <color rgb="FFFF0000"/>
        <rFont val="Arial"/>
        <family val="2"/>
        <scheme val="minor"/>
      </rPr>
      <t>TEXTSPLIT</t>
    </r>
    <r>
      <rPr>
        <b/>
        <sz val="10"/>
        <color rgb="FF000000"/>
        <rFont val="Arial"/>
        <family val="2"/>
        <scheme val="minor"/>
      </rPr>
      <t xml:space="preserve"> function I </t>
    </r>
    <r>
      <rPr>
        <b/>
        <sz val="10"/>
        <color rgb="FFFF0000"/>
        <rFont val="Arial"/>
        <family val="2"/>
        <scheme val="minor"/>
      </rPr>
      <t>splitting</t>
    </r>
    <r>
      <rPr>
        <b/>
        <sz val="10"/>
        <color rgb="FF000000"/>
        <rFont val="Arial"/>
        <family val="2"/>
        <scheme val="minor"/>
      </rPr>
      <t xml:space="preserve"> the </t>
    </r>
    <r>
      <rPr>
        <b/>
        <sz val="10"/>
        <color rgb="FFFF0000"/>
        <rFont val="Arial"/>
        <family val="2"/>
        <scheme val="minor"/>
      </rPr>
      <t>data</t>
    </r>
    <r>
      <rPr>
        <b/>
        <sz val="10"/>
        <color rgb="FF000000"/>
        <rFont val="Arial"/>
        <family val="2"/>
        <scheme val="minor"/>
      </rPr>
      <t xml:space="preserve"> from </t>
    </r>
    <r>
      <rPr>
        <b/>
        <sz val="10"/>
        <rFont val="Arial"/>
        <family val="2"/>
        <scheme val="minor"/>
      </rPr>
      <t>PRODUT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rFont val="Arial"/>
        <family val="2"/>
        <scheme val="minor"/>
      </rPr>
      <t>ID</t>
    </r>
    <r>
      <rPr>
        <b/>
        <sz val="10"/>
        <color rgb="FF000000"/>
        <rFont val="Arial"/>
        <family val="2"/>
        <scheme val="minor"/>
      </rPr>
      <t xml:space="preserve"> to "</t>
    </r>
    <r>
      <rPr>
        <b/>
        <sz val="10"/>
        <color rgb="FFFF0000"/>
        <rFont val="Arial"/>
        <family val="2"/>
        <scheme val="minor"/>
      </rPr>
      <t>Manufacturing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Date"</t>
    </r>
    <r>
      <rPr>
        <b/>
        <sz val="10"/>
        <color rgb="FF000000"/>
        <rFont val="Arial"/>
        <family val="2"/>
        <scheme val="minor"/>
      </rPr>
      <t xml:space="preserve"> and "</t>
    </r>
    <r>
      <rPr>
        <b/>
        <sz val="10"/>
        <color rgb="FFFF0000"/>
        <rFont val="Arial"/>
        <family val="2"/>
        <scheme val="minor"/>
      </rPr>
      <t>Country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Date"</t>
    </r>
  </si>
  <si>
    <r>
      <t xml:space="preserve">6.Using </t>
    </r>
    <r>
      <rPr>
        <b/>
        <sz val="10"/>
        <color rgb="FFFF0000"/>
        <rFont val="Arial"/>
        <family val="2"/>
        <scheme val="minor"/>
      </rPr>
      <t>CONCAT</t>
    </r>
    <r>
      <rPr>
        <b/>
        <sz val="10"/>
        <color rgb="FF000000"/>
        <rFont val="Arial"/>
        <family val="2"/>
        <scheme val="minor"/>
      </rPr>
      <t xml:space="preserve"> function I </t>
    </r>
    <r>
      <rPr>
        <b/>
        <sz val="10"/>
        <color rgb="FFFF0000"/>
        <rFont val="Arial"/>
        <family val="2"/>
        <scheme val="minor"/>
      </rPr>
      <t>merging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data</t>
    </r>
    <r>
      <rPr>
        <b/>
        <sz val="10"/>
        <color rgb="FF000000"/>
        <rFont val="Arial"/>
        <family val="2"/>
        <scheme val="minor"/>
      </rPr>
      <t xml:space="preserve"> in the PRODUCT NAME &amp; BRAND NAME into one column named by "</t>
    </r>
    <r>
      <rPr>
        <b/>
        <sz val="10"/>
        <color rgb="FFFF0000"/>
        <rFont val="Arial"/>
        <family val="2"/>
        <scheme val="minor"/>
      </rPr>
      <t>PRODUCT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BRAND</t>
    </r>
    <r>
      <rPr>
        <b/>
        <sz val="10"/>
        <color rgb="FF000000"/>
        <rFont val="Arial"/>
        <family val="2"/>
        <scheme val="minor"/>
      </rPr>
      <t>"</t>
    </r>
  </si>
  <si>
    <r>
      <t>7.</t>
    </r>
    <r>
      <rPr>
        <b/>
        <sz val="10"/>
        <color rgb="FFFF0000"/>
        <rFont val="Arial"/>
        <family val="2"/>
        <scheme val="minor"/>
      </rPr>
      <t>Using Currency Format</t>
    </r>
    <r>
      <rPr>
        <b/>
        <sz val="10"/>
        <color rgb="FF000000"/>
        <rFont val="Arial"/>
        <family val="2"/>
        <scheme val="minor"/>
      </rPr>
      <t xml:space="preserve"> I convert the  "</t>
    </r>
    <r>
      <rPr>
        <b/>
        <sz val="10"/>
        <color rgb="FFFF0000"/>
        <rFont val="Arial"/>
        <family val="2"/>
        <scheme val="minor"/>
      </rPr>
      <t>Price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Column</t>
    </r>
    <r>
      <rPr>
        <b/>
        <sz val="10"/>
        <color rgb="FF000000"/>
        <rFont val="Arial"/>
        <family val="2"/>
        <scheme val="minor"/>
      </rPr>
      <t xml:space="preserve">" into </t>
    </r>
    <r>
      <rPr>
        <b/>
        <sz val="10"/>
        <color rgb="FFFF0000"/>
        <rFont val="Arial"/>
        <family val="2"/>
        <scheme val="minor"/>
      </rPr>
      <t>Currency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format</t>
    </r>
  </si>
  <si>
    <r>
      <t xml:space="preserve">8.From the </t>
    </r>
    <r>
      <rPr>
        <b/>
        <sz val="10"/>
        <color rgb="FFFF0000"/>
        <rFont val="Arial"/>
        <family val="2"/>
        <scheme val="minor"/>
      </rPr>
      <t>Manufacturing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Date</t>
    </r>
    <r>
      <rPr>
        <b/>
        <sz val="10"/>
        <color rgb="FF000000"/>
        <rFont val="Arial"/>
        <family val="2"/>
        <scheme val="minor"/>
      </rPr>
      <t xml:space="preserve"> column I changed the </t>
    </r>
    <r>
      <rPr>
        <b/>
        <sz val="10"/>
        <color rgb="FFFF0000"/>
        <rFont val="Arial"/>
        <family val="2"/>
        <scheme val="minor"/>
      </rPr>
      <t>date</t>
    </r>
    <r>
      <rPr>
        <b/>
        <sz val="10"/>
        <color rgb="FF000000"/>
        <rFont val="Arial"/>
        <family val="2"/>
        <scheme val="minor"/>
      </rPr>
      <t>,</t>
    </r>
    <r>
      <rPr>
        <b/>
        <sz val="10"/>
        <color rgb="FFFF0000"/>
        <rFont val="Arial"/>
        <family val="2"/>
        <scheme val="minor"/>
      </rPr>
      <t>month</t>
    </r>
    <r>
      <rPr>
        <b/>
        <sz val="10"/>
        <color rgb="FF000000"/>
        <rFont val="Arial"/>
        <family val="2"/>
        <scheme val="minor"/>
      </rPr>
      <t>,</t>
    </r>
    <r>
      <rPr>
        <b/>
        <sz val="10"/>
        <color rgb="FFFF0000"/>
        <rFont val="Arial"/>
        <family val="2"/>
        <scheme val="minor"/>
      </rPr>
      <t>year</t>
    </r>
  </si>
  <si>
    <r>
      <t xml:space="preserve">9.For </t>
    </r>
    <r>
      <rPr>
        <b/>
        <sz val="10"/>
        <rFont val="Arial"/>
        <family val="2"/>
        <scheme val="minor"/>
      </rPr>
      <t>conditional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rFont val="Arial"/>
        <family val="2"/>
        <scheme val="minor"/>
      </rPr>
      <t>formatting</t>
    </r>
    <r>
      <rPr>
        <b/>
        <sz val="10"/>
        <color rgb="FF000000"/>
        <rFont val="Arial"/>
        <family val="2"/>
        <scheme val="minor"/>
      </rPr>
      <t xml:space="preserve"> I </t>
    </r>
    <r>
      <rPr>
        <b/>
        <sz val="10"/>
        <color rgb="FFFF0000"/>
        <rFont val="Arial"/>
        <family val="2"/>
        <scheme val="minor"/>
      </rPr>
      <t>apply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Data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Bar</t>
    </r>
    <r>
      <rPr>
        <b/>
        <sz val="10"/>
        <color rgb="FF000000"/>
        <rFont val="Arial"/>
        <family val="2"/>
        <scheme val="minor"/>
      </rPr>
      <t xml:space="preserve"> to </t>
    </r>
    <r>
      <rPr>
        <b/>
        <sz val="10"/>
        <color rgb="FFFF0000"/>
        <rFont val="Arial"/>
        <family val="2"/>
        <scheme val="minor"/>
      </rPr>
      <t>Price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column</t>
    </r>
    <r>
      <rPr>
        <b/>
        <sz val="10"/>
        <color rgb="FF000000"/>
        <rFont val="Arial"/>
        <family val="2"/>
        <scheme val="minor"/>
      </rPr>
      <t>.</t>
    </r>
  </si>
  <si>
    <r>
      <t>10.Using</t>
    </r>
    <r>
      <rPr>
        <b/>
        <sz val="10"/>
        <color rgb="FFFF0000"/>
        <rFont val="Arial"/>
        <family val="2"/>
        <scheme val="minor"/>
      </rPr>
      <t xml:space="preserve"> custom rule</t>
    </r>
    <r>
      <rPr>
        <b/>
        <sz val="10"/>
        <color rgb="FF000000"/>
        <rFont val="Arial"/>
        <family val="2"/>
        <scheme val="minor"/>
      </rPr>
      <t xml:space="preserve"> for conditional formatting in the "</t>
    </r>
    <r>
      <rPr>
        <b/>
        <sz val="10"/>
        <color rgb="FFFF0000"/>
        <rFont val="Arial"/>
        <family val="2"/>
        <scheme val="minor"/>
      </rPr>
      <t>Category</t>
    </r>
    <r>
      <rPr>
        <b/>
        <sz val="10"/>
        <color rgb="FF000000"/>
        <rFont val="Arial"/>
        <family val="2"/>
        <scheme val="minor"/>
      </rPr>
      <t>" column to highlight cells where the category is "</t>
    </r>
    <r>
      <rPr>
        <b/>
        <sz val="10"/>
        <color rgb="FFFF0000"/>
        <rFont val="Arial"/>
        <family val="2"/>
        <scheme val="minor"/>
      </rPr>
      <t>Electronics</t>
    </r>
    <r>
      <rPr>
        <b/>
        <sz val="10"/>
        <color rgb="FF000000"/>
        <rFont val="Arial"/>
        <family val="2"/>
        <scheme val="minor"/>
      </rPr>
      <t>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</si>
</sst>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9" formatCode="[$₹-4009]\ #,##0.00"/>
    <numFmt numFmtId="171" formatCode="[$₹-4009]\ #,##0"/>
    <numFmt numFmtId="173" formatCode="[$-409]d\-mmm\-yyyy;@"/>
  </numFmts>
  <fonts count="10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/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9" fontId="0" fillId="0" borderId="0" xfId="0" applyNumberFormat="1"/>
    <xf numFmtId="171" fontId="1" fillId="2" borderId="0" xfId="0" applyNumberFormat="1" applyFont="1" applyFill="1" applyAlignment="1">
      <alignment horizontal="center"/>
    </xf>
    <xf numFmtId="171" fontId="2" fillId="0" borderId="0" xfId="0" applyNumberFormat="1" applyFont="1"/>
    <xf numFmtId="171" fontId="0" fillId="0" borderId="0" xfId="0" applyNumberFormat="1"/>
    <xf numFmtId="173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14" fontId="7" fillId="0" borderId="0" xfId="0" applyNumberFormat="1" applyFon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G7" sqref="G7"/>
    </sheetView>
  </sheetViews>
  <sheetFormatPr defaultColWidth="12.5703125" defaultRowHeight="15" customHeight="1"/>
  <cols>
    <col min="1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1F1-39F0-440A-907B-B4A116636241}">
  <dimension ref="A1:L33"/>
  <sheetViews>
    <sheetView workbookViewId="0">
      <selection activeCell="M10" sqref="M10"/>
    </sheetView>
  </sheetViews>
  <sheetFormatPr defaultRowHeight="12.75"/>
  <cols>
    <col min="1" max="1" width="13.42578125" customWidth="1"/>
    <col min="2" max="2" width="14.42578125" customWidth="1"/>
    <col min="3" max="3" width="11.7109375" customWidth="1"/>
    <col min="4" max="4" width="9.7109375" style="16" bestFit="1" customWidth="1"/>
    <col min="6" max="6" width="13.5703125" customWidth="1"/>
    <col min="8" max="8" width="15.28515625" customWidth="1"/>
    <col min="9" max="9" width="14.5703125" customWidth="1"/>
    <col min="11" max="11" width="18.42578125" customWidth="1"/>
    <col min="12" max="12" width="12.5703125" style="6" customWidth="1"/>
  </cols>
  <sheetData>
    <row r="1" spans="1:12">
      <c r="A1" s="1" t="s">
        <v>0</v>
      </c>
      <c r="B1" s="1" t="s">
        <v>1</v>
      </c>
      <c r="C1" s="1" t="s">
        <v>2</v>
      </c>
      <c r="D1" s="14" t="s">
        <v>3</v>
      </c>
      <c r="E1" s="1" t="s">
        <v>4</v>
      </c>
      <c r="F1" s="1" t="s">
        <v>5</v>
      </c>
      <c r="H1" s="9" t="s">
        <v>1</v>
      </c>
      <c r="I1" s="9" t="s">
        <v>2</v>
      </c>
      <c r="K1" s="7" t="s">
        <v>0</v>
      </c>
      <c r="L1" s="7"/>
    </row>
    <row r="2" spans="1:12">
      <c r="A2" s="2" t="s">
        <v>6</v>
      </c>
      <c r="B2" s="2" t="s">
        <v>7</v>
      </c>
      <c r="C2" s="2" t="s">
        <v>8</v>
      </c>
      <c r="D2" s="15">
        <f>IF(ISBLANK('Oroginal Data Set'!D2),AVERAGE('Oroginal Data Set'!$D$2:$D$35),'Oroginal Data Set'!D2)</f>
        <v>1000</v>
      </c>
      <c r="E2" s="2">
        <v>30</v>
      </c>
      <c r="F2" s="2" t="str">
        <f>IF(ISBLANK('Oroginal Data Set'!F2),"UNKNOWN",'Oroginal Data Set'!F2)</f>
        <v>Electronics</v>
      </c>
      <c r="H2" s="10" t="s">
        <v>97</v>
      </c>
      <c r="I2" s="10"/>
      <c r="K2" s="8" t="s">
        <v>98</v>
      </c>
      <c r="L2" s="18" t="s">
        <v>99</v>
      </c>
    </row>
    <row r="3" spans="1:12">
      <c r="A3" s="3" t="s">
        <v>10</v>
      </c>
      <c r="B3" s="3" t="s">
        <v>11</v>
      </c>
      <c r="C3" s="3" t="s">
        <v>12</v>
      </c>
      <c r="D3" s="15">
        <f>IF(ISBLANK('Oroginal Data Set'!D3),AVERAGE('Oroginal Data Set'!$D$2:$D$35),'Oroginal Data Set'!D3)</f>
        <v>80</v>
      </c>
      <c r="E3" s="3">
        <v>15</v>
      </c>
      <c r="F3" s="2" t="str">
        <f>IF(ISBLANK('Oroginal Data Set'!F3),"UNKNOWN",'Oroginal Data Set'!F3)</f>
        <v>Fashion</v>
      </c>
      <c r="G3" s="13"/>
      <c r="H3" s="11" t="str">
        <f>B2&amp; "    "&amp;C2</f>
        <v>laptop    Dell</v>
      </c>
      <c r="I3" s="11"/>
      <c r="K3" s="17">
        <f>DATE(2026,1,LEFT(A2,2))</f>
        <v>46050</v>
      </c>
      <c r="L3" s="12" t="str">
        <f>_xlfn.TEXTAFTER(A2,"-",-1)</f>
        <v>US</v>
      </c>
    </row>
    <row r="4" spans="1:12">
      <c r="A4" s="2" t="s">
        <v>14</v>
      </c>
      <c r="B4" s="2" t="s">
        <v>15</v>
      </c>
      <c r="C4" s="2" t="s">
        <v>16</v>
      </c>
      <c r="D4" s="15">
        <f>IF(ISBLANK('Oroginal Data Set'!D4),AVERAGE('Oroginal Data Set'!$D$2:$D$35),'Oroginal Data Set'!D4)</f>
        <v>130</v>
      </c>
      <c r="E4" s="2">
        <v>40</v>
      </c>
      <c r="F4" s="2" t="str">
        <f>IF(ISBLANK('Oroginal Data Set'!F4),"UNKNOWN",'Oroginal Data Set'!F4)</f>
        <v>Kitchen</v>
      </c>
      <c r="H4" s="11" t="str">
        <f t="shared" ref="H4:H33" si="0">B3&amp; "    "&amp;C3</f>
        <v>Sneakers    Nike</v>
      </c>
      <c r="I4" s="11"/>
      <c r="K4" s="17">
        <f t="shared" ref="K4:K33" si="1">DATE(2026,1,LEFT(A3,2))</f>
        <v>46037</v>
      </c>
      <c r="L4" s="12" t="str">
        <f t="shared" ref="L4:L33" si="2">_xlfn.TEXTAFTER(A3,"-",-1)</f>
        <v>US</v>
      </c>
    </row>
    <row r="5" spans="1:12">
      <c r="A5" s="3" t="s">
        <v>18</v>
      </c>
      <c r="B5" s="3" t="s">
        <v>19</v>
      </c>
      <c r="C5" s="3" t="s">
        <v>20</v>
      </c>
      <c r="D5" s="15">
        <f>IF(ISBLANK('Oroginal Data Set'!D5),AVERAGE('Oroginal Data Set'!$D$2:$D$35),'Oroginal Data Set'!D5)</f>
        <v>900</v>
      </c>
      <c r="E5" s="3">
        <v>25</v>
      </c>
      <c r="F5" s="2" t="str">
        <f>IF(ISBLANK('Oroginal Data Set'!F5),"UNKNOWN",'Oroginal Data Set'!F5)</f>
        <v>Electronics</v>
      </c>
      <c r="H5" s="11" t="str">
        <f t="shared" si="0"/>
        <v>Coffee Maker    Keurig</v>
      </c>
      <c r="I5" s="11"/>
      <c r="K5" s="17">
        <f t="shared" si="1"/>
        <v>46025</v>
      </c>
      <c r="L5" s="12" t="str">
        <f t="shared" si="2"/>
        <v>US</v>
      </c>
    </row>
    <row r="6" spans="1:12">
      <c r="A6" s="2" t="s">
        <v>21</v>
      </c>
      <c r="B6" s="2" t="s">
        <v>22</v>
      </c>
      <c r="C6" s="2" t="s">
        <v>23</v>
      </c>
      <c r="D6" s="15">
        <f>IF(ISBLANK('Oroginal Data Set'!D6),AVERAGE('Oroginal Data Set'!$D$2:$D$35),'Oroginal Data Set'!D6)</f>
        <v>70</v>
      </c>
      <c r="E6" s="2">
        <v>20</v>
      </c>
      <c r="F6" s="2" t="str">
        <f>IF(ISBLANK('Oroginal Data Set'!F6),"UNKNOWN",'Oroginal Data Set'!F6)</f>
        <v>UNKNOWN</v>
      </c>
      <c r="H6" s="11" t="str">
        <f t="shared" si="0"/>
        <v>smartphone    Samsung</v>
      </c>
      <c r="I6" s="11"/>
      <c r="K6" s="17">
        <f t="shared" si="1"/>
        <v>46033</v>
      </c>
      <c r="L6" s="12" t="str">
        <f t="shared" si="2"/>
        <v>US</v>
      </c>
    </row>
    <row r="7" spans="1:12">
      <c r="A7" s="3" t="s">
        <v>24</v>
      </c>
      <c r="B7" s="3" t="s">
        <v>25</v>
      </c>
      <c r="C7" s="3" t="s">
        <v>26</v>
      </c>
      <c r="D7" s="15">
        <f>IF(ISBLANK('Oroginal Data Set'!D7),AVERAGE('Oroginal Data Set'!$D$2:$D$35),'Oroginal Data Set'!D7)</f>
        <v>309.35483870967744</v>
      </c>
      <c r="E7" s="3">
        <v>45</v>
      </c>
      <c r="F7" s="2" t="str">
        <f>IF(ISBLANK('Oroginal Data Set'!F7),"UNKNOWN",'Oroginal Data Set'!F7)</f>
        <v>Electroni</v>
      </c>
      <c r="H7" s="11" t="str">
        <f t="shared" si="0"/>
        <v>Backpack    North Face</v>
      </c>
      <c r="I7" s="11"/>
      <c r="K7" s="17">
        <f t="shared" si="1"/>
        <v>46044</v>
      </c>
      <c r="L7" s="12" t="str">
        <f t="shared" si="2"/>
        <v>US</v>
      </c>
    </row>
    <row r="8" spans="1:12">
      <c r="A8" s="2" t="s">
        <v>28</v>
      </c>
      <c r="B8" s="2" t="s">
        <v>29</v>
      </c>
      <c r="C8" s="2" t="s">
        <v>30</v>
      </c>
      <c r="D8" s="15">
        <f>IF(ISBLANK('Oroginal Data Set'!D8),AVERAGE('Oroginal Data Set'!$D$2:$D$35),'Oroginal Data Set'!D8)</f>
        <v>30</v>
      </c>
      <c r="E8" s="2">
        <v>5</v>
      </c>
      <c r="F8" s="2" t="str">
        <f>IF(ISBLANK('Oroginal Data Set'!F8),"UNKNOWN",'Oroginal Data Set'!F8)</f>
        <v>Fashion</v>
      </c>
      <c r="H8" s="11" t="str">
        <f t="shared" si="0"/>
        <v>Headphones    Sony</v>
      </c>
      <c r="I8" s="11"/>
      <c r="K8" s="17">
        <f t="shared" si="1"/>
        <v>46029</v>
      </c>
      <c r="L8" s="12" t="str">
        <f t="shared" si="2"/>
        <v>UK</v>
      </c>
    </row>
    <row r="9" spans="1:12">
      <c r="A9" s="3" t="s">
        <v>31</v>
      </c>
      <c r="B9" s="3" t="s">
        <v>32</v>
      </c>
      <c r="C9" s="3" t="s">
        <v>33</v>
      </c>
      <c r="D9" s="15">
        <f>IF(ISBLANK('Oroginal Data Set'!D9),AVERAGE('Oroginal Data Set'!$D$2:$D$35),'Oroginal Data Set'!D9)</f>
        <v>90</v>
      </c>
      <c r="E9" s="3">
        <v>35</v>
      </c>
      <c r="F9" s="2" t="str">
        <f>IF(ISBLANK('Oroginal Data Set'!F9),"UNKNOWN",'Oroginal Data Set'!F9)</f>
        <v>Kitchen</v>
      </c>
      <c r="H9" s="11" t="str">
        <f t="shared" si="0"/>
        <v>T-shirt    Adidas</v>
      </c>
      <c r="I9" s="11"/>
      <c r="K9" s="17">
        <f t="shared" si="1"/>
        <v>46041</v>
      </c>
      <c r="L9" s="12" t="str">
        <f t="shared" si="2"/>
        <v>UK</v>
      </c>
    </row>
    <row r="10" spans="1:12">
      <c r="A10" s="2" t="s">
        <v>34</v>
      </c>
      <c r="B10" s="2" t="s">
        <v>35</v>
      </c>
      <c r="C10" s="2" t="s">
        <v>36</v>
      </c>
      <c r="D10" s="15">
        <f>IF(ISBLANK('Oroginal Data Set'!D10),AVERAGE('Oroginal Data Set'!$D$2:$D$35),'Oroginal Data Set'!D10)</f>
        <v>500</v>
      </c>
      <c r="E10" s="2">
        <v>50</v>
      </c>
      <c r="F10" s="2" t="str">
        <f>IF(ISBLANK('Oroginal Data Set'!F10),"UNKNOWN",'Oroginal Data Set'!F10)</f>
        <v>Electronics</v>
      </c>
      <c r="H10" s="11" t="str">
        <f t="shared" si="0"/>
        <v>Blender    Ninja</v>
      </c>
      <c r="I10" s="11"/>
      <c r="K10" s="17">
        <f t="shared" si="1"/>
        <v>46045</v>
      </c>
      <c r="L10" s="12" t="str">
        <f t="shared" si="2"/>
        <v>UK</v>
      </c>
    </row>
    <row r="11" spans="1:12">
      <c r="A11" s="3" t="s">
        <v>37</v>
      </c>
      <c r="B11" s="3" t="s">
        <v>38</v>
      </c>
      <c r="C11" s="3" t="s">
        <v>39</v>
      </c>
      <c r="D11" s="15">
        <f>IF(ISBLANK('Oroginal Data Set'!D11),AVERAGE('Oroginal Data Set'!$D$2:$D$35),'Oroginal Data Set'!D11)</f>
        <v>130</v>
      </c>
      <c r="E11" s="3">
        <v>10</v>
      </c>
      <c r="F11" s="2" t="str">
        <f>IF(ISBLANK('Oroginal Data Set'!F11),"UNKNOWN",'Oroginal Data Set'!F11)</f>
        <v>Outdoor</v>
      </c>
      <c r="H11" s="11" t="str">
        <f t="shared" si="0"/>
        <v>Tablet    Apple</v>
      </c>
      <c r="I11" s="11"/>
      <c r="K11" s="17">
        <f t="shared" si="1"/>
        <v>46027</v>
      </c>
      <c r="L11" s="12" t="str">
        <f t="shared" si="2"/>
        <v>UK</v>
      </c>
    </row>
    <row r="12" spans="1:12">
      <c r="A12" s="2" t="s">
        <v>41</v>
      </c>
      <c r="B12" s="2" t="s">
        <v>42</v>
      </c>
      <c r="C12" s="2" t="s">
        <v>43</v>
      </c>
      <c r="D12" s="15">
        <f>IF(ISBLANK('Oroginal Data Set'!D12),AVERAGE('Oroginal Data Set'!$D$2:$D$35),'Oroginal Data Set'!D12)</f>
        <v>950</v>
      </c>
      <c r="E12" s="2">
        <v>25</v>
      </c>
      <c r="F12" s="2" t="str">
        <f>IF(ISBLANK('Oroginal Data Set'!F12),"UNKNOWN",'Oroginal Data Set'!F12)</f>
        <v>Electronics</v>
      </c>
      <c r="H12" s="11" t="str">
        <f t="shared" si="0"/>
        <v>Hiking Boots    Timberland</v>
      </c>
      <c r="I12" s="11"/>
      <c r="K12" s="17">
        <f t="shared" si="1"/>
        <v>46036</v>
      </c>
      <c r="L12" s="12" t="str">
        <f t="shared" si="2"/>
        <v>UK</v>
      </c>
    </row>
    <row r="13" spans="1:12">
      <c r="A13" s="3" t="s">
        <v>44</v>
      </c>
      <c r="B13" s="3" t="s">
        <v>11</v>
      </c>
      <c r="C13" s="3" t="s">
        <v>30</v>
      </c>
      <c r="D13" s="15">
        <f>IF(ISBLANK('Oroginal Data Set'!D13),AVERAGE('Oroginal Data Set'!$D$2:$D$35),'Oroginal Data Set'!D13)</f>
        <v>90</v>
      </c>
      <c r="E13" s="3">
        <v>40</v>
      </c>
      <c r="F13" s="2" t="str">
        <f>IF(ISBLANK('Oroginal Data Set'!F13),"UNKNOWN",'Oroginal Data Set'!F13)</f>
        <v>UNKNOWN</v>
      </c>
      <c r="H13" s="11" t="str">
        <f t="shared" si="0"/>
        <v>Laptop    HP</v>
      </c>
      <c r="I13" s="11"/>
      <c r="K13" s="17">
        <f t="shared" si="1"/>
        <v>46039</v>
      </c>
      <c r="L13" s="12" t="str">
        <f t="shared" si="2"/>
        <v>IN</v>
      </c>
    </row>
    <row r="14" spans="1:12">
      <c r="A14" s="2" t="s">
        <v>45</v>
      </c>
      <c r="B14" s="2" t="s">
        <v>15</v>
      </c>
      <c r="C14" s="2" t="s">
        <v>46</v>
      </c>
      <c r="D14" s="15">
        <f>IF(ISBLANK('Oroginal Data Set'!D14),AVERAGE('Oroginal Data Set'!$D$2:$D$35),'Oroginal Data Set'!D14)</f>
        <v>120</v>
      </c>
      <c r="E14" s="2">
        <v>35</v>
      </c>
      <c r="F14" s="2" t="str">
        <f>IF(ISBLANK('Oroginal Data Set'!F14),"UNKNOWN",'Oroginal Data Set'!F14)</f>
        <v>UNKNOWN</v>
      </c>
      <c r="H14" s="11" t="str">
        <f t="shared" si="0"/>
        <v>Sneakers    Adidas</v>
      </c>
      <c r="I14" s="11"/>
      <c r="K14" s="17">
        <f t="shared" si="1"/>
        <v>46047</v>
      </c>
      <c r="L14" s="12" t="str">
        <f t="shared" si="2"/>
        <v>AU</v>
      </c>
    </row>
    <row r="15" spans="1:12">
      <c r="A15" s="3" t="s">
        <v>47</v>
      </c>
      <c r="B15" s="3" t="s">
        <v>48</v>
      </c>
      <c r="C15" s="3" t="s">
        <v>49</v>
      </c>
      <c r="D15" s="15">
        <f>IF(ISBLANK('Oroginal Data Set'!D15),AVERAGE('Oroginal Data Set'!$D$2:$D$35),'Oroginal Data Set'!D15)</f>
        <v>150</v>
      </c>
      <c r="E15" s="3">
        <v>15</v>
      </c>
      <c r="F15" s="2" t="str">
        <f>IF(ISBLANK('Oroginal Data Set'!F15),"UNKNOWN",'Oroginal Data Set'!F15)</f>
        <v>Electroni</v>
      </c>
      <c r="H15" s="11" t="str">
        <f t="shared" si="0"/>
        <v>Coffee Maker    Nespresso</v>
      </c>
      <c r="I15" s="11"/>
      <c r="K15" s="17">
        <f t="shared" si="1"/>
        <v>46030</v>
      </c>
      <c r="L15" s="12" t="str">
        <f t="shared" si="2"/>
        <v>DE</v>
      </c>
    </row>
    <row r="16" spans="1:12">
      <c r="A16" s="2" t="s">
        <v>50</v>
      </c>
      <c r="B16" s="2" t="s">
        <v>51</v>
      </c>
      <c r="C16" s="2" t="s">
        <v>52</v>
      </c>
      <c r="D16" s="15">
        <f>IF(ISBLANK('Oroginal Data Set'!D16),AVERAGE('Oroginal Data Set'!$D$2:$D$35),'Oroginal Data Set'!D16)</f>
        <v>250</v>
      </c>
      <c r="E16" s="2">
        <v>20</v>
      </c>
      <c r="F16" s="2" t="str">
        <f>IF(ISBLANK('Oroginal Data Set'!F16),"UNKNOWN",'Oroginal Data Set'!F16)</f>
        <v>Electroni</v>
      </c>
      <c r="H16" s="11" t="str">
        <f t="shared" si="0"/>
        <v>Smartwatch    Fitbit</v>
      </c>
      <c r="I16" s="11"/>
      <c r="K16" s="17">
        <f t="shared" si="1"/>
        <v>46040</v>
      </c>
      <c r="L16" s="12" t="str">
        <f t="shared" si="2"/>
        <v>CA</v>
      </c>
    </row>
    <row r="17" spans="1:12">
      <c r="A17" s="3" t="s">
        <v>53</v>
      </c>
      <c r="B17" s="3" t="s">
        <v>54</v>
      </c>
      <c r="C17" s="3" t="s">
        <v>55</v>
      </c>
      <c r="D17" s="15">
        <f>IF(ISBLANK('Oroginal Data Set'!D17),AVERAGE('Oroginal Data Set'!$D$2:$D$35),'Oroginal Data Set'!D17)</f>
        <v>50</v>
      </c>
      <c r="E17" s="3">
        <v>35</v>
      </c>
      <c r="F17" s="2" t="str">
        <f>IF(ISBLANK('Oroginal Data Set'!F17),"UNKNOWN",'Oroginal Data Set'!F17)</f>
        <v>Accessories</v>
      </c>
      <c r="H17" s="11" t="str">
        <f t="shared" si="0"/>
        <v>headphones    Bose</v>
      </c>
      <c r="I17" s="11"/>
      <c r="K17" s="17">
        <f t="shared" si="1"/>
        <v>46038</v>
      </c>
      <c r="L17" s="12" t="str">
        <f t="shared" si="2"/>
        <v>ES</v>
      </c>
    </row>
    <row r="18" spans="1:12">
      <c r="A18" s="2" t="s">
        <v>57</v>
      </c>
      <c r="B18" s="2" t="s">
        <v>48</v>
      </c>
      <c r="C18" s="2" t="s">
        <v>58</v>
      </c>
      <c r="D18" s="15">
        <f>IF(ISBLANK('Oroginal Data Set'!D18),AVERAGE('Oroginal Data Set'!$D$2:$D$35),'Oroginal Data Set'!D18)</f>
        <v>160</v>
      </c>
      <c r="E18" s="2">
        <v>15</v>
      </c>
      <c r="F18" s="2" t="str">
        <f>IF(ISBLANK('Oroginal Data Set'!F18),"UNKNOWN",'Oroginal Data Set'!F18)</f>
        <v>Electroni</v>
      </c>
      <c r="H18" s="11" t="str">
        <f t="shared" si="0"/>
        <v>Laptop Bag    Samsonite</v>
      </c>
      <c r="I18" s="11"/>
      <c r="K18" s="17">
        <f t="shared" si="1"/>
        <v>46043</v>
      </c>
      <c r="L18" s="12" t="str">
        <f t="shared" si="2"/>
        <v>CA</v>
      </c>
    </row>
    <row r="19" spans="1:12">
      <c r="A19" s="3" t="s">
        <v>59</v>
      </c>
      <c r="B19" s="3" t="s">
        <v>7</v>
      </c>
      <c r="C19" s="3" t="s">
        <v>60</v>
      </c>
      <c r="D19" s="15">
        <f>IF(ISBLANK('Oroginal Data Set'!D19),AVERAGE('Oroginal Data Set'!$D$2:$D$35),'Oroginal Data Set'!D19)</f>
        <v>980</v>
      </c>
      <c r="E19" s="3">
        <v>10</v>
      </c>
      <c r="F19" s="2" t="str">
        <f>IF(ISBLANK('Oroginal Data Set'!F19),"UNKNOWN",'Oroginal Data Set'!F19)</f>
        <v>Electronics</v>
      </c>
      <c r="H19" s="11" t="str">
        <f t="shared" si="0"/>
        <v>Smartwatch    Huawei</v>
      </c>
      <c r="I19" s="11"/>
      <c r="K19" s="17">
        <f t="shared" si="1"/>
        <v>46042</v>
      </c>
      <c r="L19" s="12" t="str">
        <f t="shared" si="2"/>
        <v>CN</v>
      </c>
    </row>
    <row r="20" spans="1:12">
      <c r="A20" s="2" t="s">
        <v>61</v>
      </c>
      <c r="B20" s="2" t="s">
        <v>62</v>
      </c>
      <c r="C20" s="2" t="s">
        <v>63</v>
      </c>
      <c r="D20" s="15">
        <f>IF(ISBLANK('Oroginal Data Set'!D20),AVERAGE('Oroginal Data Set'!$D$2:$D$35),'Oroginal Data Set'!D20)</f>
        <v>150</v>
      </c>
      <c r="E20" s="2">
        <v>15</v>
      </c>
      <c r="F20" s="2" t="str">
        <f>IF(ISBLANK('Oroginal Data Set'!F20),"UNKNOWN",'Oroginal Data Set'!F20)</f>
        <v>Fashion</v>
      </c>
      <c r="H20" s="11" t="str">
        <f t="shared" si="0"/>
        <v>laptop    Asus</v>
      </c>
      <c r="I20" s="11"/>
      <c r="K20" s="17">
        <f t="shared" si="1"/>
        <v>46049</v>
      </c>
      <c r="L20" s="12" t="str">
        <f t="shared" si="2"/>
        <v>IT</v>
      </c>
    </row>
    <row r="21" spans="1:12">
      <c r="A21" s="3" t="s">
        <v>64</v>
      </c>
      <c r="B21" s="3" t="s">
        <v>65</v>
      </c>
      <c r="C21" s="3" t="s">
        <v>66</v>
      </c>
      <c r="D21" s="15">
        <f>IF(ISBLANK('Oroginal Data Set'!D21),AVERAGE('Oroginal Data Set'!$D$2:$D$35),'Oroginal Data Set'!D21)</f>
        <v>309.35483870967744</v>
      </c>
      <c r="E21" s="3">
        <v>10</v>
      </c>
      <c r="F21" s="2" t="str">
        <f>IF(ISBLANK('Oroginal Data Set'!F21),"UNKNOWN",'Oroginal Data Set'!F21)</f>
        <v>Outdoor</v>
      </c>
      <c r="H21" s="11" t="str">
        <f t="shared" si="0"/>
        <v>Sunglasses    Oakley</v>
      </c>
      <c r="I21" s="11"/>
      <c r="K21" s="17">
        <f t="shared" si="1"/>
        <v>46023</v>
      </c>
      <c r="L21" s="12" t="str">
        <f t="shared" si="2"/>
        <v>UK</v>
      </c>
    </row>
    <row r="22" spans="1:12">
      <c r="A22" s="2" t="s">
        <v>67</v>
      </c>
      <c r="B22" s="2" t="s">
        <v>68</v>
      </c>
      <c r="C22" s="2" t="s">
        <v>69</v>
      </c>
      <c r="D22" s="15">
        <f>IF(ISBLANK('Oroginal Data Set'!D22),AVERAGE('Oroginal Data Set'!$D$2:$D$35),'Oroginal Data Set'!D22)</f>
        <v>700</v>
      </c>
      <c r="E22" s="2">
        <v>50</v>
      </c>
      <c r="F22" s="2" t="str">
        <f>IF(ISBLANK('Oroginal Data Set'!F22),"UNKNOWN",'Oroginal Data Set'!F22)</f>
        <v>Electronics</v>
      </c>
      <c r="H22" s="11" t="str">
        <f t="shared" si="0"/>
        <v>Camping Tent    Coleman</v>
      </c>
      <c r="I22" s="11"/>
      <c r="K22" s="17">
        <f t="shared" si="1"/>
        <v>46036</v>
      </c>
      <c r="L22" s="12" t="str">
        <f t="shared" si="2"/>
        <v>US</v>
      </c>
    </row>
    <row r="23" spans="1:12">
      <c r="A23" s="3" t="s">
        <v>70</v>
      </c>
      <c r="B23" s="3" t="s">
        <v>71</v>
      </c>
      <c r="C23" s="3" t="s">
        <v>72</v>
      </c>
      <c r="D23" s="15">
        <f>IF(ISBLANK('Oroginal Data Set'!D23),AVERAGE('Oroginal Data Set'!$D$2:$D$35),'Oroginal Data Set'!D23)</f>
        <v>80</v>
      </c>
      <c r="E23" s="3">
        <v>20</v>
      </c>
      <c r="F23" s="2" t="str">
        <f>IF(ISBLANK('Oroginal Data Set'!F23),"UNKNOWN",'Oroginal Data Set'!F23)</f>
        <v>Kitchen</v>
      </c>
      <c r="H23" s="11" t="str">
        <f t="shared" si="0"/>
        <v>Camera    Nikon</v>
      </c>
      <c r="I23" s="11"/>
      <c r="K23" s="17">
        <f t="shared" si="1"/>
        <v>46036</v>
      </c>
      <c r="L23" s="12" t="str">
        <f t="shared" si="2"/>
        <v>RU</v>
      </c>
    </row>
    <row r="24" spans="1:12">
      <c r="A24" s="2" t="s">
        <v>73</v>
      </c>
      <c r="B24" s="2" t="s">
        <v>74</v>
      </c>
      <c r="C24" s="2" t="s">
        <v>75</v>
      </c>
      <c r="D24" s="15">
        <f>IF(ISBLANK('Oroginal Data Set'!D24),AVERAGE('Oroginal Data Set'!$D$2:$D$35),'Oroginal Data Set'!D24)</f>
        <v>150</v>
      </c>
      <c r="E24" s="2">
        <v>30</v>
      </c>
      <c r="F24" s="2" t="str">
        <f>IF(ISBLANK('Oroginal Data Set'!F24),"UNKNOWN",'Oroginal Data Set'!F24)</f>
        <v>UNKNOWN</v>
      </c>
      <c r="H24" s="11" t="str">
        <f t="shared" si="0"/>
        <v>Microwave    Panasonic</v>
      </c>
      <c r="I24" s="11"/>
      <c r="K24" s="17">
        <f t="shared" si="1"/>
        <v>46031</v>
      </c>
      <c r="L24" s="12" t="str">
        <f t="shared" si="2"/>
        <v>CA</v>
      </c>
    </row>
    <row r="25" spans="1:12">
      <c r="A25" s="2" t="s">
        <v>76</v>
      </c>
      <c r="B25" s="2" t="s">
        <v>77</v>
      </c>
      <c r="C25" s="2" t="s">
        <v>78</v>
      </c>
      <c r="D25" s="15">
        <f>IF(ISBLANK('Oroginal Data Set'!D25),AVERAGE('Oroginal Data Set'!$D$2:$D$35),'Oroginal Data Set'!D25)</f>
        <v>50</v>
      </c>
      <c r="E25" s="2">
        <v>45</v>
      </c>
      <c r="F25" s="2" t="str">
        <f>IF(ISBLANK('Oroginal Data Set'!F25),"UNKNOWN",'Oroginal Data Set'!F25)</f>
        <v>Accessories</v>
      </c>
      <c r="H25" s="11" t="str">
        <f t="shared" si="0"/>
        <v>Fitness Tracker    Xiaomi</v>
      </c>
      <c r="I25" s="11"/>
      <c r="K25" s="17">
        <f t="shared" si="1"/>
        <v>46041</v>
      </c>
      <c r="L25" s="12" t="str">
        <f t="shared" si="2"/>
        <v>BR</v>
      </c>
    </row>
    <row r="26" spans="1:12">
      <c r="A26" s="3" t="s">
        <v>79</v>
      </c>
      <c r="B26" s="3" t="s">
        <v>62</v>
      </c>
      <c r="C26" s="3" t="s">
        <v>80</v>
      </c>
      <c r="D26" s="15">
        <f>IF(ISBLANK('Oroginal Data Set'!D26),AVERAGE('Oroginal Data Set'!$D$2:$D$35),'Oroginal Data Set'!D26)</f>
        <v>800</v>
      </c>
      <c r="E26" s="3">
        <v>25</v>
      </c>
      <c r="F26" s="2" t="str">
        <f>IF(ISBLANK('Oroginal Data Set'!F26),"UNKNOWN",'Oroginal Data Set'!F26)</f>
        <v>Electronics</v>
      </c>
      <c r="H26" s="11" t="str">
        <f t="shared" si="0"/>
        <v>Smartphone    Google</v>
      </c>
      <c r="I26" s="11"/>
      <c r="K26" s="17">
        <f t="shared" si="1"/>
        <v>46051</v>
      </c>
      <c r="L26" s="12" t="str">
        <f t="shared" si="2"/>
        <v>CA</v>
      </c>
    </row>
    <row r="27" spans="1:12">
      <c r="A27" s="2" t="s">
        <v>81</v>
      </c>
      <c r="B27" s="2" t="s">
        <v>32</v>
      </c>
      <c r="C27" s="2" t="s">
        <v>82</v>
      </c>
      <c r="D27" s="15">
        <f>IF(ISBLANK('Oroginal Data Set'!D27),AVERAGE('Oroginal Data Set'!$D$2:$D$35),'Oroginal Data Set'!D27)</f>
        <v>309.35483870967744</v>
      </c>
      <c r="E27" s="2">
        <v>40</v>
      </c>
      <c r="F27" s="2" t="str">
        <f>IF(ISBLANK('Oroginal Data Set'!F27),"UNKNOWN",'Oroginal Data Set'!F27)</f>
        <v>Fashion</v>
      </c>
      <c r="H27" s="11" t="str">
        <f t="shared" si="0"/>
        <v>Sunglasses    Ray-Ban</v>
      </c>
      <c r="I27" s="11"/>
      <c r="K27" s="17">
        <f t="shared" si="1"/>
        <v>46025</v>
      </c>
      <c r="L27" s="12" t="str">
        <f t="shared" si="2"/>
        <v>CA</v>
      </c>
    </row>
    <row r="28" spans="1:12">
      <c r="A28" s="2" t="s">
        <v>83</v>
      </c>
      <c r="B28" s="2" t="s">
        <v>84</v>
      </c>
      <c r="C28" s="2" t="s">
        <v>85</v>
      </c>
      <c r="D28" s="15">
        <f>IF(ISBLANK('Oroginal Data Set'!D28),AVERAGE('Oroginal Data Set'!$D$2:$D$35),'Oroginal Data Set'!D28)</f>
        <v>400</v>
      </c>
      <c r="E28" s="2">
        <v>30</v>
      </c>
      <c r="F28" s="2" t="str">
        <f>IF(ISBLANK('Oroginal Data Set'!F28),"UNKNOWN",'Oroginal Data Set'!F28)</f>
        <v>Kitchen</v>
      </c>
      <c r="H28" s="11" t="str">
        <f t="shared" si="0"/>
        <v>Blender    Vitamix</v>
      </c>
      <c r="I28" s="11"/>
      <c r="K28" s="17">
        <f t="shared" si="1"/>
        <v>46033</v>
      </c>
      <c r="L28" s="12" t="str">
        <f t="shared" si="2"/>
        <v>CA</v>
      </c>
    </row>
    <row r="29" spans="1:12">
      <c r="A29" s="3" t="s">
        <v>86</v>
      </c>
      <c r="B29" s="3" t="s">
        <v>87</v>
      </c>
      <c r="C29" s="3" t="s">
        <v>88</v>
      </c>
      <c r="D29" s="15">
        <f>IF(ISBLANK('Oroginal Data Set'!D29),AVERAGE('Oroginal Data Set'!$D$2:$D$35),'Oroginal Data Set'!D29)</f>
        <v>250</v>
      </c>
      <c r="E29" s="3">
        <v>10</v>
      </c>
      <c r="F29" s="2" t="str">
        <f>IF(ISBLANK('Oroginal Data Set'!F29),"UNKNOWN",'Oroginal Data Set'!F29)</f>
        <v>Electroni</v>
      </c>
      <c r="H29" s="11" t="str">
        <f t="shared" si="0"/>
        <v>Dress    Zara</v>
      </c>
      <c r="I29" s="11"/>
      <c r="K29" s="17">
        <f t="shared" si="1"/>
        <v>46029</v>
      </c>
      <c r="L29" s="12" t="str">
        <f t="shared" si="2"/>
        <v>CA</v>
      </c>
    </row>
    <row r="30" spans="1:12">
      <c r="A30" s="2" t="s">
        <v>89</v>
      </c>
      <c r="B30" s="2" t="s">
        <v>74</v>
      </c>
      <c r="C30" s="2" t="s">
        <v>90</v>
      </c>
      <c r="D30" s="15">
        <f>IF(ISBLANK('Oroginal Data Set'!D30),AVERAGE('Oroginal Data Set'!$D$2:$D$35),'Oroginal Data Set'!D30)</f>
        <v>60</v>
      </c>
      <c r="E30" s="2">
        <v>5</v>
      </c>
      <c r="F30" s="2" t="str">
        <f>IF(ISBLANK('Oroginal Data Set'!F30),"UNKNOWN",'Oroginal Data Set'!F30)</f>
        <v>Fashion</v>
      </c>
      <c r="H30" s="11" t="str">
        <f t="shared" si="0"/>
        <v>Toaster    Hamilton</v>
      </c>
      <c r="I30" s="11"/>
      <c r="K30" s="17">
        <f t="shared" si="1"/>
        <v>46035</v>
      </c>
      <c r="L30" s="12" t="str">
        <f t="shared" si="2"/>
        <v>CA</v>
      </c>
    </row>
    <row r="31" spans="1:12">
      <c r="A31" s="3" t="s">
        <v>91</v>
      </c>
      <c r="B31" s="3" t="s">
        <v>92</v>
      </c>
      <c r="C31" s="3" t="s">
        <v>93</v>
      </c>
      <c r="D31" s="15">
        <f>IF(ISBLANK('Oroginal Data Set'!D31),AVERAGE('Oroginal Data Set'!$D$2:$D$35),'Oroginal Data Set'!D31)</f>
        <v>40</v>
      </c>
      <c r="E31" s="3">
        <v>50</v>
      </c>
      <c r="F31" s="2" t="str">
        <f>IF(ISBLANK('Oroginal Data Set'!F31),"UNKNOWN",'Oroginal Data Set'!F31)</f>
        <v>Kitchen</v>
      </c>
      <c r="H31" s="11" t="str">
        <f t="shared" si="0"/>
        <v>Fitness Tracker    Garmin</v>
      </c>
      <c r="I31" s="11"/>
      <c r="K31" s="17">
        <f t="shared" si="1"/>
        <v>46046</v>
      </c>
      <c r="L31" s="12" t="str">
        <f t="shared" si="2"/>
        <v>CA</v>
      </c>
    </row>
    <row r="32" spans="1:12">
      <c r="A32" s="3" t="s">
        <v>94</v>
      </c>
      <c r="B32" s="3" t="s">
        <v>95</v>
      </c>
      <c r="C32" s="3" t="s">
        <v>96</v>
      </c>
      <c r="D32" s="15">
        <f>IF(ISBLANK('Oroginal Data Set'!D32),AVERAGE('Oroginal Data Set'!$D$2:$D$35),'Oroginal Data Set'!D32)</f>
        <v>130</v>
      </c>
      <c r="E32" s="3">
        <v>20</v>
      </c>
      <c r="F32" s="2" t="str">
        <f>IF(ISBLANK('Oroginal Data Set'!F32),"UNKNOWN",'Oroginal Data Set'!F32)</f>
        <v>Electronics</v>
      </c>
      <c r="H32" s="11" t="str">
        <f t="shared" si="0"/>
        <v>Jeans    Levi's</v>
      </c>
      <c r="I32" s="11"/>
      <c r="K32" s="17">
        <f t="shared" si="1"/>
        <v>46024</v>
      </c>
      <c r="L32" s="12" t="str">
        <f t="shared" si="2"/>
        <v>CA</v>
      </c>
    </row>
    <row r="33" spans="8:12">
      <c r="H33" s="11" t="str">
        <f t="shared" si="0"/>
        <v>Watch    Casio</v>
      </c>
      <c r="I33" s="11"/>
      <c r="K33" s="17">
        <f t="shared" si="1"/>
        <v>46031</v>
      </c>
      <c r="L33" s="12" t="str">
        <f t="shared" si="2"/>
        <v>FR</v>
      </c>
    </row>
  </sheetData>
  <mergeCells count="33">
    <mergeCell ref="H31:I31"/>
    <mergeCell ref="H32:I32"/>
    <mergeCell ref="H33:I33"/>
    <mergeCell ref="K1:L1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H2:I2"/>
    <mergeCell ref="H3:I3"/>
    <mergeCell ref="H4:I4"/>
    <mergeCell ref="H5:I5"/>
    <mergeCell ref="H6:I6"/>
  </mergeCells>
  <conditionalFormatting sqref="D2:D32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{6166F69B-9C55-4BEA-9D56-FE6EA49819BB}</x14:id>
        </ext>
      </extLst>
    </cfRule>
  </conditionalFormatting>
  <conditionalFormatting sqref="F2:F32">
    <cfRule type="containsText" dxfId="1" priority="1" operator="containsText" text="Electronics">
      <formula>NOT(ISERROR(SEARCH("Electronics",F2)))</formula>
    </cfRule>
    <cfRule type="containsText" dxfId="0" priority="2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66F69B-9C55-4BEA-9D56-FE6EA49819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3B00-95FA-4F57-8830-E65CFC901006}">
  <dimension ref="A1:H20"/>
  <sheetViews>
    <sheetView tabSelected="1" workbookViewId="0">
      <selection activeCell="E21" sqref="E21"/>
    </sheetView>
  </sheetViews>
  <sheetFormatPr defaultRowHeight="12.75"/>
  <sheetData>
    <row r="1" spans="1:8">
      <c r="A1" s="19" t="s">
        <v>103</v>
      </c>
    </row>
    <row r="3" spans="1:8">
      <c r="A3" s="19" t="s">
        <v>101</v>
      </c>
      <c r="B3" s="19"/>
      <c r="C3" s="19"/>
      <c r="D3" s="19"/>
      <c r="E3" s="19"/>
      <c r="F3" s="19"/>
    </row>
    <row r="4" spans="1:8">
      <c r="A4" s="19"/>
      <c r="B4" s="19"/>
      <c r="C4" s="19"/>
      <c r="D4" s="19"/>
      <c r="E4" s="19"/>
      <c r="F4" s="19"/>
    </row>
    <row r="5" spans="1:8">
      <c r="A5" s="19" t="s">
        <v>102</v>
      </c>
      <c r="B5" s="19"/>
      <c r="C5" s="19"/>
      <c r="D5" s="19"/>
      <c r="E5" s="19"/>
      <c r="F5" s="19"/>
    </row>
    <row r="6" spans="1:8">
      <c r="A6" s="19"/>
      <c r="B6" s="19"/>
      <c r="C6" s="19"/>
      <c r="D6" s="19"/>
      <c r="E6" s="19"/>
      <c r="F6" s="19"/>
    </row>
    <row r="7" spans="1:8">
      <c r="A7" s="19" t="s">
        <v>104</v>
      </c>
      <c r="B7" s="19"/>
      <c r="C7" s="19"/>
      <c r="D7" s="19"/>
      <c r="E7" s="19"/>
      <c r="F7" s="19"/>
    </row>
    <row r="8" spans="1:8">
      <c r="A8" s="19"/>
      <c r="B8" s="19"/>
      <c r="C8" s="19"/>
      <c r="D8" s="19"/>
      <c r="E8" s="19"/>
      <c r="F8" s="19"/>
    </row>
    <row r="9" spans="1:8">
      <c r="A9" s="19" t="s">
        <v>105</v>
      </c>
      <c r="B9" s="19"/>
      <c r="C9" s="19"/>
      <c r="D9" s="19"/>
      <c r="E9" s="19"/>
      <c r="F9" s="19"/>
      <c r="G9" s="6"/>
      <c r="H9" s="6"/>
    </row>
    <row r="10" spans="1:8">
      <c r="A10" s="19"/>
      <c r="B10" s="19"/>
      <c r="C10" s="19"/>
      <c r="D10" s="19"/>
      <c r="E10" s="19"/>
      <c r="F10" s="19"/>
      <c r="G10" s="6"/>
      <c r="H10" s="6"/>
    </row>
    <row r="11" spans="1:8">
      <c r="A11" s="19" t="s">
        <v>106</v>
      </c>
      <c r="B11" s="19"/>
      <c r="C11" s="19"/>
      <c r="D11" s="19"/>
      <c r="E11" s="19"/>
      <c r="F11" s="19"/>
      <c r="G11" s="6"/>
      <c r="H11" s="6"/>
    </row>
    <row r="12" spans="1:8">
      <c r="A12" s="19"/>
      <c r="B12" s="19"/>
      <c r="C12" s="19"/>
      <c r="D12" s="19"/>
      <c r="E12" s="19"/>
      <c r="F12" s="19"/>
    </row>
    <row r="13" spans="1:8">
      <c r="A13" s="20" t="s">
        <v>107</v>
      </c>
      <c r="B13" s="19"/>
      <c r="C13" s="19"/>
      <c r="D13" s="19"/>
      <c r="E13" s="19"/>
      <c r="F13" s="19"/>
    </row>
    <row r="14" spans="1:8">
      <c r="A14" s="20"/>
      <c r="B14" s="19"/>
      <c r="C14" s="19"/>
      <c r="D14" s="19"/>
      <c r="E14" s="19"/>
      <c r="F14" s="19"/>
    </row>
    <row r="15" spans="1:8">
      <c r="A15" s="20" t="s">
        <v>108</v>
      </c>
      <c r="B15" s="19"/>
      <c r="C15" s="19"/>
      <c r="D15" s="19"/>
      <c r="E15" s="19"/>
      <c r="F15" s="19"/>
    </row>
    <row r="16" spans="1:8">
      <c r="A16" s="19"/>
      <c r="B16" s="19"/>
      <c r="C16" s="19"/>
      <c r="D16" s="19"/>
      <c r="E16" s="19"/>
      <c r="F16" s="19"/>
    </row>
    <row r="17" spans="1:6">
      <c r="A17" s="19" t="s">
        <v>109</v>
      </c>
      <c r="B17" s="19"/>
      <c r="C17" s="19"/>
      <c r="D17" s="19"/>
      <c r="E17" s="19"/>
      <c r="F17" s="19"/>
    </row>
    <row r="18" spans="1:6">
      <c r="A18" s="19"/>
      <c r="B18" s="19"/>
      <c r="C18" s="19"/>
      <c r="D18" s="19"/>
      <c r="E18" s="19"/>
      <c r="F18" s="19"/>
    </row>
    <row r="19" spans="1:6">
      <c r="A19" s="19" t="s">
        <v>110</v>
      </c>
      <c r="B19" s="19"/>
      <c r="C19" s="19"/>
      <c r="D19" s="19"/>
      <c r="E19" s="19"/>
      <c r="F19" s="19"/>
    </row>
    <row r="20" spans="1:6">
      <c r="A20" s="19" t="s">
        <v>100</v>
      </c>
      <c r="B20" s="19"/>
      <c r="C20" s="19"/>
      <c r="D20" s="19"/>
      <c r="E20" s="19"/>
      <c r="F2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Oroginal Data Set</vt:lpstr>
      <vt:lpstr>Answer Sheet</vt:lpstr>
      <vt:lpstr>About my Assignment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tmpvaishnavidevi@gmail.com</cp:lastModifiedBy>
  <dcterms:created xsi:type="dcterms:W3CDTF">2026-07-23T14:43:37Z</dcterms:created>
  <dcterms:modified xsi:type="dcterms:W3CDTF">2026-08-28T11:48:04Z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